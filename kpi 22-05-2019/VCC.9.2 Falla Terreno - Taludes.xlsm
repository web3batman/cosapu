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pi\kpi 22-05-2019\"/>
    </mc:Choice>
  </mc:AlternateContent>
  <xr:revisionPtr revIDLastSave="0" documentId="13_ncr:1_{0DCF24E2-D1BB-411C-B839-1BE9250824B2}" xr6:coauthVersionLast="43" xr6:coauthVersionMax="43" xr10:uidLastSave="{00000000-0000-0000-0000-000000000000}"/>
  <bookViews>
    <workbookView xWindow="-120" yWindow="-120" windowWidth="20730" windowHeight="11310" tabRatio="759" activeTab="1" xr2:uid="{00000000-000D-0000-FFFF-FFFF00000000}"/>
  </bookViews>
  <sheets>
    <sheet name="BDVC" sheetId="23" r:id="rId1"/>
    <sheet name="9.FALLA DE TERRENO" sheetId="21" r:id="rId2"/>
    <sheet name="BDVC9" sheetId="22" state="hidden" r:id="rId3"/>
  </sheets>
  <externalReferences>
    <externalReference r:id="rId4"/>
  </externalReferences>
  <definedNames>
    <definedName name="_1.LOTOTO" localSheetId="1">#REF!</definedName>
    <definedName name="_1.LOTOTO" localSheetId="0">#REF!</definedName>
    <definedName name="_1.LOTOTO">#REF!</definedName>
    <definedName name="_10.TRABAJOS_CON_CERCA_DE_SUSTANCIAS_QUÍMICAS_H2S_CLORO_OTROS" localSheetId="1">#REF!</definedName>
    <definedName name="_10.TRABAJOS_CON_CERCA_DE_SUSTANCIAS_QUÍMICAS_H2S_CLORO_OTROS">#REF!</definedName>
    <definedName name="_11.TRABAJOS_CON_EXPLOSIVOS" localSheetId="1">#REF!</definedName>
    <definedName name="_11.TRABAJOS_CON_EXPLOSIVOS">#REF!</definedName>
    <definedName name="_12.TRABAJOS_CON_TUBERÍAS_DE_HDPE" localSheetId="1">#REF!</definedName>
    <definedName name="_12.TRABAJOS_CON_TUBERÍAS_DE_HDPE">#REF!</definedName>
    <definedName name="_13.TRABAJO_CON_CERCA_DE_ENERGIA_O_PARTES_MOVILES" localSheetId="1">#REF!</definedName>
    <definedName name="_13.TRABAJO_CON_CERCA_DE_ENERGIA_O_PARTES_MOVILES">#REF!</definedName>
    <definedName name="_14.INGRESO_A_AREAS_RESTRINGIDAS_SIN_AUTORIZACION" localSheetId="1">#REF!</definedName>
    <definedName name="_14.INGRESO_A_AREAS_RESTRINGIDAS_SIN_AUTORIZACION">#REF!</definedName>
    <definedName name="_2.TRABAJOS_EN_ESPACIOS_CONFINADOS" localSheetId="1">#REF!</definedName>
    <definedName name="_2.TRABAJOS_EN_ESPACIOS_CONFINADOS">#REF!</definedName>
    <definedName name="_3.ABERTURAS_EN_PISOS_O_PLATAFORMAS_ABIERTAS_OPEN_HOLE" localSheetId="1">#REF!</definedName>
    <definedName name="_3.ABERTURAS_EN_PISOS_O_PLATAFORMAS_ABIERTAS_OPEN_HOLE">#REF!</definedName>
    <definedName name="_4.TRABAJOS_CON_IZAJE_O_CARGAS_SUSPENDIDAS" localSheetId="1">#REF!</definedName>
    <definedName name="_4.TRABAJOS_CON_IZAJE_O_CARGAS_SUSPENDIDAS">#REF!</definedName>
    <definedName name="_5.TRABAJOS_EN_ALTURA_O_DESNIVEL" localSheetId="1">#REF!</definedName>
    <definedName name="_5.TRABAJOS_EN_ALTURA_O_DESNIVEL">#REF!</definedName>
    <definedName name="_6.APLICACIÓN_DEL_PROCEDIMIENTO_“BLUE_STAKE”" localSheetId="1">#REF!</definedName>
    <definedName name="_6.APLICACIÓN_DEL_PROCEDIMIENTO_“BLUE_STAKE”">#REF!</definedName>
    <definedName name="_7.TRABAJOS_EN_CALIENTE" localSheetId="1">#REF!</definedName>
    <definedName name="_7.TRABAJOS_EN_CALIENTE">#REF!</definedName>
    <definedName name="_8.TRABAJOS_CON_CIRCUITOS_ENERGIZADOS" localSheetId="1">#REF!</definedName>
    <definedName name="_8.TRABAJOS_CON_CIRCUITOS_ENERGIZADOS">#REF!</definedName>
    <definedName name="_9.OPERACIÓN_DE_EQUIPO_PESADO_LIVIANO_MÓVILES" localSheetId="1">#REF!</definedName>
    <definedName name="_9.OPERACIÓN_DE_EQUIPO_PESADO_LIVIANO_MÓVILES">#REF!</definedName>
    <definedName name="_xlnm.Print_Area" localSheetId="1">'9.FALLA DE TERRENO'!$A$1:$N$14</definedName>
    <definedName name="AREAMINA" localSheetId="1">#REF!</definedName>
    <definedName name="AREAMINA">#REF!</definedName>
    <definedName name="OPCION" localSheetId="1">#REF!</definedName>
    <definedName name="OPCION">#REF!</definedName>
    <definedName name="Riesgos2" localSheetId="1">#REF!</definedName>
    <definedName name="Riesgos2">#REF!</definedName>
    <definedName name="RIESGOSCRITICOS" localSheetId="1">#REF!</definedName>
    <definedName name="RIESGOSCRITICOS">#REF!</definedName>
    <definedName name="sd" localSheetId="1">#REF!</definedName>
    <definedName name="sd">#REF!</definedName>
    <definedName name="_xlnm.Print_Titles" localSheetId="1">'9.FALLA DE TERRENO'!$1:$2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7" i="23" l="1"/>
  <c r="Q7" i="23"/>
  <c r="R7" i="23"/>
  <c r="S7" i="23"/>
  <c r="P8" i="23"/>
  <c r="Q8" i="23"/>
  <c r="R8" i="23"/>
  <c r="S8" i="23"/>
  <c r="P9" i="23"/>
  <c r="Q9" i="23"/>
  <c r="R9" i="23"/>
  <c r="S9" i="23"/>
  <c r="R6" i="23"/>
  <c r="E6" i="23"/>
  <c r="D6" i="23"/>
  <c r="C6" i="23"/>
  <c r="B6" i="23"/>
  <c r="A6" i="23"/>
  <c r="S6" i="23" l="1"/>
  <c r="Q6" i="23"/>
  <c r="P6" i="23" l="1"/>
  <c r="O6" i="23"/>
  <c r="O4" i="23" s="1"/>
  <c r="N6" i="23"/>
  <c r="N4" i="23" s="1"/>
  <c r="M6" i="23"/>
  <c r="M4" i="23" s="1"/>
  <c r="L6" i="23"/>
  <c r="L4" i="23" s="1"/>
  <c r="K6" i="23"/>
  <c r="K4" i="23" s="1"/>
  <c r="J6" i="23"/>
  <c r="J4" i="23" s="1"/>
  <c r="I6" i="23"/>
  <c r="I4" i="23" s="1"/>
  <c r="H6" i="23"/>
  <c r="H4" i="23" s="1"/>
  <c r="G6" i="23"/>
  <c r="G4" i="23" s="1"/>
  <c r="F6" i="23"/>
  <c r="F4" i="23" s="1"/>
  <c r="Y9" i="21" l="1"/>
  <c r="X9" i="21"/>
  <c r="W9" i="21"/>
  <c r="T9" i="21"/>
  <c r="S9" i="21"/>
  <c r="R9" i="21"/>
  <c r="O6" i="22" l="1"/>
  <c r="N6" i="22"/>
  <c r="M6" i="22"/>
  <c r="L6" i="22"/>
  <c r="K6" i="22"/>
  <c r="J6" i="22"/>
  <c r="I6" i="22"/>
  <c r="H6" i="22"/>
  <c r="G6" i="22"/>
  <c r="F6" i="22"/>
  <c r="E6" i="22" l="1"/>
  <c r="D6" i="22"/>
  <c r="C6" i="22"/>
  <c r="B6" i="22"/>
  <c r="A6" i="22"/>
  <c r="O4" i="22"/>
  <c r="N4" i="22"/>
  <c r="M4" i="22"/>
  <c r="L4" i="22"/>
  <c r="K4" i="22"/>
  <c r="J4" i="22"/>
  <c r="I4" i="22"/>
  <c r="H4" i="22"/>
  <c r="G4" i="22"/>
  <c r="F4" i="22"/>
  <c r="Y12" i="21" l="1"/>
  <c r="X12" i="21"/>
  <c r="W12" i="21"/>
  <c r="T12" i="21"/>
  <c r="S12" i="21"/>
  <c r="R12" i="21"/>
  <c r="Y11" i="21"/>
  <c r="X11" i="21"/>
  <c r="W11" i="21"/>
  <c r="T11" i="21"/>
  <c r="S11" i="21"/>
  <c r="R11" i="21"/>
  <c r="Y10" i="21"/>
  <c r="X10" i="21"/>
  <c r="W10" i="21"/>
  <c r="T10" i="21"/>
  <c r="S10" i="21"/>
  <c r="R10" i="21"/>
  <c r="Y5" i="21"/>
  <c r="X5" i="21"/>
  <c r="W5" i="21"/>
  <c r="T5" i="21"/>
  <c r="S5" i="21"/>
  <c r="R5" i="21"/>
</calcChain>
</file>

<file path=xl/sharedStrings.xml><?xml version="1.0" encoding="utf-8"?>
<sst xmlns="http://schemas.openxmlformats.org/spreadsheetml/2006/main" count="104" uniqueCount="75">
  <si>
    <t>CONTROLES CRÍTICOS</t>
  </si>
  <si>
    <t>SI</t>
  </si>
  <si>
    <t>NO</t>
  </si>
  <si>
    <t>NA</t>
  </si>
  <si>
    <t>7. TRABAJOS EN CALIENTE</t>
  </si>
  <si>
    <t>8. TRABAJOS CON CIRCUITOS ENERGIZADOS</t>
  </si>
  <si>
    <t>9. OPERACIÓN DE EQUIPO PESADO/ LIVIANO/ MÓVILES</t>
  </si>
  <si>
    <t>10. TRABAJOS CON/CERCA DE SUSTANCIAS QUÍMICAS (H2S, CLORO, OTROS)</t>
  </si>
  <si>
    <t>11. TRABAJOS CON EXPLOSIVOS</t>
  </si>
  <si>
    <t>MANTENIMIENTO MINA - SOPORTE DE SERVICIOS</t>
  </si>
  <si>
    <t>INGENIERÍA Y GEOLOGÍA - PLANEAMIENTO A LARGO PLAZO</t>
  </si>
  <si>
    <t>MANTENIMIENTO MINA - MANTENIMIENTO MINA ACARREO</t>
  </si>
  <si>
    <t>MANTENIMIENTO MINA - MANTENIMIENTO MINA CARGUÍO</t>
  </si>
  <si>
    <t>NUEVAS CONSTRUCCIONES - MOVIMIENTO DE TIERRAS</t>
  </si>
  <si>
    <t>_7.TRABAJOS_EN_CALIENTE</t>
  </si>
  <si>
    <t>_8.TRABAJOS_CON_CIRCUITOS_ENERGIZADOS</t>
  </si>
  <si>
    <t>_9.OPERACIÓN_DE_EQUIPO_PESADO/ LIVIANO/ MÓVILES</t>
  </si>
  <si>
    <t>_10.TRABAJOS_CON/CERCA_DE_SUSTANCIAS_QUÍMICAS(H2S,_CLORO,_OTROS)</t>
  </si>
  <si>
    <t>_11.TRABAJOS_CON_EXPLOSIVOS</t>
  </si>
  <si>
    <t>RIESGOS MATERIALES</t>
  </si>
  <si>
    <t>Si el área requiere un permiso escrito de excavación, ¿este ha sido solicitado?</t>
  </si>
  <si>
    <t>¿Las líneas de servicio enterradas o empotradas han sido identificadas?</t>
  </si>
  <si>
    <t>¿Se realizó el estudio de mecánica de suelos para excavaciones mayores a 2 metros?</t>
  </si>
  <si>
    <t>¿Cuenta con el permiso de espacios confinados requerido para excavaciones mauores a 0.9m?</t>
  </si>
  <si>
    <t>¿Cuenta con un diseño de sostenimiento debidamente documentado para excavaciones mayores a 1.5 metros?</t>
  </si>
  <si>
    <t>¿Se apiló el material producto de la excavación a 1m del borde? Y para excavaciones mayores a 2m, ¿se apiló a una distancia equivalente a la mitad de la profundidad de la excavación?</t>
  </si>
  <si>
    <t>¿Existen cantidades necesarias de ingresos y salidas seguras?</t>
  </si>
  <si>
    <t>¿Se hizo la inspección diaria de la excavación y después de un sismo o lluvias?</t>
  </si>
  <si>
    <t>¿Se realizó la demarcación y señalización?</t>
  </si>
  <si>
    <t>¿Se han instalado las rutas de escape cada 7m?</t>
  </si>
  <si>
    <t>ACCIÓN CORRECTIVA</t>
  </si>
  <si>
    <t>RESPONSABLE</t>
  </si>
  <si>
    <t>PLAZO</t>
  </si>
  <si>
    <t>TAREA VERIFICADA:</t>
  </si>
  <si>
    <t>PARTICIPANTES:</t>
  </si>
  <si>
    <t>SUPERVISOR A CARGO DE LOS TRABAJOS:</t>
  </si>
  <si>
    <t>VERIFICACIÓN DE CONTROLES CRITICOS
VCC</t>
  </si>
  <si>
    <t>RUMBO A LA CONSTRUCCIÓN SEGURA</t>
  </si>
  <si>
    <t>9. FALLA DE TERRENO</t>
  </si>
  <si>
    <t>Fecha</t>
  </si>
  <si>
    <t>Empresa observada</t>
  </si>
  <si>
    <t>Area</t>
  </si>
  <si>
    <t>Tarea Verificada</t>
  </si>
  <si>
    <t xml:space="preserve">Plan de acción </t>
  </si>
  <si>
    <t>Estatus</t>
  </si>
  <si>
    <t>Participantes</t>
  </si>
  <si>
    <t>ÁREA:</t>
  </si>
  <si>
    <t>Codigo: JU-S-SS0-FOR-018</t>
  </si>
  <si>
    <t>¿Los taludes han sido liberados por el área de geotecnia?</t>
  </si>
  <si>
    <t>¿Se verifica visulamente la presencia del ancho de berma (&gt; 9 m y &lt; 13 m)?</t>
  </si>
  <si>
    <t>¿Se aprecia un ruta de escape rápida en caso de caida de rocas?</t>
  </si>
  <si>
    <t>EMPRESA OBSERVADA:</t>
  </si>
  <si>
    <t>FECHA:</t>
  </si>
  <si>
    <t>¿Se observa señalización de advertencia o prohibición en el banco dónde se está realizando la inspección al talud?</t>
  </si>
  <si>
    <t>¿Se encuentra libre de agrietamientos en la cara del talud?</t>
  </si>
  <si>
    <t>¿Se encuentra libre de rocas o bloques colgados?</t>
  </si>
  <si>
    <t>¿Se encuentra libre de agrietamientos en la cresta del talud?</t>
  </si>
  <si>
    <t>¿Se encuentra libre de material acumulado sobre la berma del banco?</t>
  </si>
  <si>
    <t>¿Se encuentra libre de desprendimiento de rocas en el talud? No considerar material generado por el viento</t>
  </si>
  <si>
    <t>¿Los equipos o personas están trabajando a menos de 9 m del talud?</t>
  </si>
  <si>
    <t>FALLA EN TERRENO - TALUDES</t>
  </si>
  <si>
    <t>Fecha: 27/01/19</t>
  </si>
  <si>
    <t>Version: 3</t>
  </si>
  <si>
    <t>ESTATUS</t>
  </si>
  <si>
    <t>Plan de Acción</t>
  </si>
  <si>
    <t>Responsable</t>
  </si>
  <si>
    <t>Plazo</t>
  </si>
  <si>
    <t>X</t>
  </si>
  <si>
    <t>CCICSK</t>
  </si>
  <si>
    <t>Cerrado</t>
  </si>
  <si>
    <t>Chancadora primaria de oxidos, Gabiones</t>
  </si>
  <si>
    <t>Excavación</t>
  </si>
  <si>
    <t>Civiles Moviemiento de tierra</t>
  </si>
  <si>
    <t>Edwin Herrera</t>
  </si>
  <si>
    <t>Se coloco barreras rigidas en talud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</si>
</sst>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0"/>
      <color rgb="FF000000"/>
      <name val="Times New Roman"/>
      <charset val="204"/>
    </font>
    <font>
      <sz val="5"/>
      <color rgb="FF000000"/>
      <name val="Calibri"/>
      <family val="2"/>
    </font>
    <font>
      <b/>
      <sz val="10"/>
      <color rgb="FF000000"/>
      <name val="Calibri"/>
      <family val="2"/>
      <scheme val="minor"/>
    </font>
    <font>
      <b/>
      <sz val="10"/>
      <color rgb="FF000000"/>
      <name val="Times New Roman"/>
      <family val="1"/>
    </font>
    <font>
      <sz val="8"/>
      <color rgb="FF000000"/>
      <name val="Arial Narrow"/>
      <family val="2"/>
    </font>
    <font>
      <b/>
      <sz val="10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rgb="FF000000"/>
      <name val="Times New Roman"/>
      <family val="1"/>
    </font>
    <font>
      <b/>
      <sz val="8"/>
      <name val="Calibri"/>
      <family val="2"/>
    </font>
    <font>
      <sz val="8"/>
      <name val="Calibri"/>
      <family val="2"/>
    </font>
    <font>
      <b/>
      <sz val="8"/>
      <color rgb="FF000000"/>
      <name val="Calibri"/>
      <family val="2"/>
      <scheme val="minor"/>
    </font>
    <font>
      <b/>
      <sz val="8"/>
      <color rgb="FF000000"/>
      <name val="Calibri"/>
      <family val="2"/>
    </font>
    <font>
      <b/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color rgb="FF000000"/>
      <name val="Neue Haas Grotesk Text Pro"/>
      <family val="2"/>
    </font>
    <font>
      <sz val="9"/>
      <name val="Neue Haas Grotesk Text Pro"/>
      <family val="2"/>
    </font>
    <font>
      <sz val="9"/>
      <color theme="1"/>
      <name val="Neue Haas Grotesk Text Pro"/>
      <family val="2"/>
    </font>
  </fonts>
  <fills count="8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 applyFill="1" applyBorder="1" applyAlignment="1">
      <alignment horizontal="left" vertical="top"/>
    </xf>
    <xf numFmtId="0" fontId="0" fillId="0" borderId="0" xfId="0"/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14" fontId="15" fillId="0" borderId="3" xfId="0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15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4" fontId="0" fillId="0" borderId="3" xfId="0" applyNumberFormat="1" applyBorder="1" applyAlignment="1">
      <alignment horizontal="center" vertical="center"/>
    </xf>
    <xf numFmtId="16" fontId="0" fillId="0" borderId="3" xfId="0" applyNumberFormat="1" applyBorder="1" applyAlignment="1">
      <alignment horizontal="center" vertical="center"/>
    </xf>
    <xf numFmtId="1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9" fillId="6" borderId="3" xfId="0" applyFont="1" applyFill="1" applyBorder="1" applyAlignment="1" applyProtection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14" fontId="15" fillId="0" borderId="14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18" fillId="6" borderId="3" xfId="0" applyFont="1" applyFill="1" applyBorder="1" applyAlignment="1">
      <alignment horizontal="center" vertical="center" wrapText="1"/>
    </xf>
    <xf numFmtId="0" fontId="18" fillId="6" borderId="3" xfId="0" applyFont="1" applyFill="1" applyBorder="1" applyAlignment="1">
      <alignment horizontal="center" vertical="center"/>
    </xf>
    <xf numFmtId="0" fontId="19" fillId="6" borderId="3" xfId="0" applyFont="1" applyFill="1" applyBorder="1" applyAlignment="1" applyProtection="1">
      <alignment horizontal="center" vertical="center" wrapText="1"/>
    </xf>
    <xf numFmtId="0" fontId="20" fillId="0" borderId="3" xfId="0" applyFont="1" applyBorder="1" applyAlignment="1">
      <alignment horizontal="left" vertical="center"/>
    </xf>
    <xf numFmtId="14" fontId="20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3" xfId="0" applyFont="1" applyBorder="1"/>
    <xf numFmtId="0" fontId="20" fillId="0" borderId="3" xfId="0" applyFont="1" applyBorder="1" applyAlignment="1">
      <alignment horizontal="center" vertical="center" wrapText="1"/>
    </xf>
    <xf numFmtId="0" fontId="19" fillId="4" borderId="3" xfId="0" applyFont="1" applyFill="1" applyBorder="1" applyAlignment="1" applyProtection="1">
      <alignment horizontal="left" vertical="center" wrapText="1"/>
    </xf>
    <xf numFmtId="0" fontId="19" fillId="0" borderId="3" xfId="0" applyFont="1" applyFill="1" applyBorder="1" applyAlignment="1" applyProtection="1">
      <alignment horizontal="left" vertical="center" wrapText="1"/>
    </xf>
    <xf numFmtId="0" fontId="0" fillId="4" borderId="0" xfId="0" applyFill="1"/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6" fillId="5" borderId="0" xfId="0" applyFont="1" applyFill="1" applyBorder="1" applyAlignment="1" applyProtection="1">
      <alignment vertical="center" wrapText="1"/>
      <protection hidden="1"/>
    </xf>
    <xf numFmtId="0" fontId="6" fillId="5" borderId="0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49" fontId="4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left" vertical="top"/>
      <protection hidden="1"/>
    </xf>
    <xf numFmtId="0" fontId="16" fillId="7" borderId="3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" fontId="0" fillId="0" borderId="0" xfId="0" applyNumberFormat="1" applyFill="1" applyBorder="1" applyAlignment="1" applyProtection="1">
      <alignment horizontal="center" vertical="center"/>
      <protection hidden="1"/>
    </xf>
    <xf numFmtId="0" fontId="8" fillId="3" borderId="5" xfId="0" applyFont="1" applyFill="1" applyBorder="1" applyAlignment="1" applyProtection="1">
      <alignment horizontal="center" vertical="center" wrapText="1"/>
      <protection hidden="1"/>
    </xf>
    <xf numFmtId="0" fontId="8" fillId="3" borderId="8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left" vertical="top"/>
      <protection hidden="1"/>
    </xf>
    <xf numFmtId="0" fontId="10" fillId="0" borderId="3" xfId="0" applyFont="1" applyFill="1" applyBorder="1" applyAlignment="1" applyProtection="1">
      <alignment horizontal="left" vertical="center"/>
      <protection hidden="1"/>
    </xf>
    <xf numFmtId="164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4" borderId="3" xfId="0" applyFont="1" applyFill="1" applyBorder="1" applyAlignment="1" applyProtection="1">
      <alignment horizontal="left" vertical="center" wrapText="1"/>
      <protection hidden="1"/>
    </xf>
    <xf numFmtId="0" fontId="12" fillId="0" borderId="3" xfId="0" applyFont="1" applyFill="1" applyBorder="1" applyAlignment="1" applyProtection="1">
      <alignment horizontal="left" vertical="center" wrapText="1"/>
      <protection hidden="1"/>
    </xf>
    <xf numFmtId="0" fontId="9" fillId="0" borderId="3" xfId="0" applyFont="1" applyFill="1" applyBorder="1" applyAlignment="1" applyProtection="1">
      <alignment horizontal="left" vertical="center" wrapText="1"/>
      <protection hidden="1"/>
    </xf>
    <xf numFmtId="0" fontId="8" fillId="3" borderId="2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11" fillId="0" borderId="1" xfId="0" applyFont="1" applyFill="1" applyBorder="1" applyAlignment="1" applyProtection="1">
      <alignment horizontal="center" vertical="center" wrapText="1"/>
      <protection locked="0"/>
    </xf>
    <xf numFmtId="0" fontId="9" fillId="4" borderId="3" xfId="0" applyFont="1" applyFill="1" applyBorder="1" applyAlignment="1" applyProtection="1">
      <alignment horizontal="center" vertical="center" wrapText="1"/>
      <protection locked="0"/>
    </xf>
    <xf numFmtId="14" fontId="9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Alignment="1">
      <alignment horizontal="center" vertical="center"/>
    </xf>
    <xf numFmtId="0" fontId="6" fillId="5" borderId="0" xfId="0" applyFont="1" applyFill="1" applyBorder="1" applyAlignment="1" applyProtection="1">
      <alignment horizontal="center" vertical="center" wrapText="1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locked="0"/>
    </xf>
    <xf numFmtId="0" fontId="9" fillId="4" borderId="4" xfId="0" applyFont="1" applyFill="1" applyBorder="1" applyAlignment="1" applyProtection="1">
      <alignment horizontal="center" vertical="center" wrapText="1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 applyProtection="1">
      <alignment horizontal="center" vertical="center"/>
      <protection locked="0"/>
    </xf>
    <xf numFmtId="14" fontId="17" fillId="0" borderId="6" xfId="0" applyNumberFormat="1" applyFont="1" applyFill="1" applyBorder="1" applyAlignment="1" applyProtection="1">
      <alignment horizontal="center" vertical="center"/>
      <protection locked="0"/>
    </xf>
    <xf numFmtId="14" fontId="17" fillId="0" borderId="7" xfId="0" applyNumberFormat="1" applyFont="1" applyFill="1" applyBorder="1" applyAlignment="1" applyProtection="1">
      <alignment horizontal="center" vertical="center"/>
      <protection locked="0"/>
    </xf>
    <xf numFmtId="14" fontId="17" fillId="0" borderId="4" xfId="0" applyNumberFormat="1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Fill="1" applyBorder="1" applyAlignment="1" applyProtection="1">
      <alignment horizontal="center" vertical="center" wrapText="1"/>
      <protection hidden="1"/>
    </xf>
    <xf numFmtId="0" fontId="8" fillId="0" borderId="10" xfId="0" applyFont="1" applyFill="1" applyBorder="1" applyAlignment="1" applyProtection="1">
      <alignment horizontal="center" vertical="center" wrapText="1"/>
      <protection hidden="1"/>
    </xf>
    <xf numFmtId="0" fontId="17" fillId="4" borderId="6" xfId="0" applyFont="1" applyFill="1" applyBorder="1" applyAlignment="1" applyProtection="1">
      <alignment horizontal="center" vertical="center" wrapText="1"/>
      <protection locked="0"/>
    </xf>
    <xf numFmtId="0" fontId="17" fillId="4" borderId="7" xfId="0" applyFont="1" applyFill="1" applyBorder="1" applyAlignment="1" applyProtection="1">
      <alignment horizontal="center" vertical="center" wrapText="1"/>
      <protection locked="0"/>
    </xf>
    <xf numFmtId="0" fontId="17" fillId="4" borderId="4" xfId="0" applyFont="1" applyFill="1" applyBorder="1" applyAlignment="1" applyProtection="1">
      <alignment horizontal="center" vertical="center" wrapText="1"/>
      <protection locked="0"/>
    </xf>
    <xf numFmtId="0" fontId="16" fillId="7" borderId="6" xfId="0" applyFont="1" applyFill="1" applyBorder="1" applyAlignment="1" applyProtection="1">
      <alignment horizontal="center" vertical="center" wrapText="1"/>
      <protection hidden="1"/>
    </xf>
    <xf numFmtId="0" fontId="16" fillId="7" borderId="7" xfId="0" applyFont="1" applyFill="1" applyBorder="1" applyAlignment="1" applyProtection="1">
      <alignment horizontal="center" vertical="center" wrapText="1"/>
      <protection hidden="1"/>
    </xf>
    <xf numFmtId="0" fontId="16" fillId="7" borderId="4" xfId="0" applyFont="1" applyFill="1" applyBorder="1" applyAlignment="1" applyProtection="1">
      <alignment horizontal="center" vertical="center" wrapText="1"/>
      <protection hidden="1"/>
    </xf>
    <xf numFmtId="0" fontId="8" fillId="3" borderId="12" xfId="0" applyFont="1" applyFill="1" applyBorder="1" applyAlignment="1" applyProtection="1">
      <alignment horizontal="center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0" fontId="8" fillId="3" borderId="13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752494</xdr:colOff>
      <xdr:row>0</xdr:row>
      <xdr:rowOff>0</xdr:rowOff>
    </xdr:from>
    <xdr:to>
      <xdr:col>19</xdr:col>
      <xdr:colOff>0</xdr:colOff>
      <xdr:row>2</xdr:row>
      <xdr:rowOff>228230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0FAECE0-05E3-432C-8FB4-20FBABDF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40612" y="0"/>
          <a:ext cx="771506" cy="556936"/>
        </a:xfrm>
        <a:prstGeom prst="rect">
          <a:avLst/>
        </a:prstGeom>
      </xdr:spPr>
    </xdr:pic>
    <xdr:clientData/>
  </xdr:twoCellAnchor>
  <xdr:oneCellAnchor>
    <xdr:from>
      <xdr:col>0</xdr:col>
      <xdr:colOff>79375</xdr:colOff>
      <xdr:row>0</xdr:row>
      <xdr:rowOff>31750</xdr:rowOff>
    </xdr:from>
    <xdr:ext cx="400290" cy="556313"/>
    <xdr:pic>
      <xdr:nvPicPr>
        <xdr:cNvPr id="3" name="Imagen 2">
          <a:extLst>
            <a:ext uri="{FF2B5EF4-FFF2-40B4-BE49-F238E27FC236}">
              <a16:creationId xmlns:a16="http://schemas.microsoft.com/office/drawing/2014/main" id="{A833AD07-7403-4428-B439-4F34A3266B41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75" y="31750"/>
          <a:ext cx="400290" cy="556313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0</xdr:col>
      <xdr:colOff>549088</xdr:colOff>
      <xdr:row>0</xdr:row>
      <xdr:rowOff>56029</xdr:rowOff>
    </xdr:from>
    <xdr:to>
      <xdr:col>1</xdr:col>
      <xdr:colOff>364639</xdr:colOff>
      <xdr:row>3</xdr:row>
      <xdr:rowOff>31937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3630471-3217-4444-9C51-A84911993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088" y="56029"/>
          <a:ext cx="691851" cy="5728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93991</xdr:colOff>
      <xdr:row>0</xdr:row>
      <xdr:rowOff>44174</xdr:rowOff>
    </xdr:from>
    <xdr:to>
      <xdr:col>1</xdr:col>
      <xdr:colOff>739913</xdr:colOff>
      <xdr:row>0</xdr:row>
      <xdr:rowOff>530498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91" y="44174"/>
          <a:ext cx="645922" cy="486324"/>
        </a:xfrm>
        <a:prstGeom prst="rect">
          <a:avLst/>
        </a:prstGeom>
      </xdr:spPr>
    </xdr:pic>
    <xdr:clientData/>
  </xdr:twoCellAnchor>
  <xdr:twoCellAnchor editAs="oneCell">
    <xdr:from>
      <xdr:col>4</xdr:col>
      <xdr:colOff>56432</xdr:colOff>
      <xdr:row>0</xdr:row>
      <xdr:rowOff>0</xdr:rowOff>
    </xdr:from>
    <xdr:to>
      <xdr:col>5</xdr:col>
      <xdr:colOff>176975</xdr:colOff>
      <xdr:row>0</xdr:row>
      <xdr:rowOff>553138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4726" y="0"/>
          <a:ext cx="441778" cy="553138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7</xdr:col>
      <xdr:colOff>93991</xdr:colOff>
      <xdr:row>0</xdr:row>
      <xdr:rowOff>44174</xdr:rowOff>
    </xdr:from>
    <xdr:ext cx="645922" cy="486324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65891" y="44174"/>
          <a:ext cx="645922" cy="486324"/>
        </a:xfrm>
        <a:prstGeom prst="rect">
          <a:avLst/>
        </a:prstGeom>
      </xdr:spPr>
    </xdr:pic>
    <xdr:clientData/>
  </xdr:oneCellAnchor>
  <xdr:oneCellAnchor>
    <xdr:from>
      <xdr:col>12</xdr:col>
      <xdr:colOff>9176</xdr:colOff>
      <xdr:row>0</xdr:row>
      <xdr:rowOff>15437</xdr:rowOff>
    </xdr:from>
    <xdr:ext cx="400290" cy="556313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3376" y="15437"/>
          <a:ext cx="400290" cy="556313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1</xdr:col>
      <xdr:colOff>206103</xdr:colOff>
      <xdr:row>6</xdr:row>
      <xdr:rowOff>101600</xdr:rowOff>
    </xdr:from>
    <xdr:to>
      <xdr:col>1</xdr:col>
      <xdr:colOff>814881</xdr:colOff>
      <xdr:row>7</xdr:row>
      <xdr:rowOff>185420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103" y="2746829"/>
          <a:ext cx="608778" cy="548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50800</xdr:colOff>
      <xdr:row>0</xdr:row>
      <xdr:rowOff>0</xdr:rowOff>
    </xdr:from>
    <xdr:to>
      <xdr:col>17</xdr:col>
      <xdr:colOff>60306</xdr:colOff>
      <xdr:row>2</xdr:row>
      <xdr:rowOff>228230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19625" y="0"/>
          <a:ext cx="695306" cy="523505"/>
        </a:xfrm>
        <a:prstGeom prst="rect">
          <a:avLst/>
        </a:prstGeom>
      </xdr:spPr>
    </xdr:pic>
    <xdr:clientData/>
  </xdr:twoCellAnchor>
  <xdr:oneCellAnchor>
    <xdr:from>
      <xdr:col>0</xdr:col>
      <xdr:colOff>79375</xdr:colOff>
      <xdr:row>0</xdr:row>
      <xdr:rowOff>31750</xdr:rowOff>
    </xdr:from>
    <xdr:ext cx="400290" cy="55631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75" y="31750"/>
          <a:ext cx="400290" cy="556313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0</xdr:col>
      <xdr:colOff>549088</xdr:colOff>
      <xdr:row>0</xdr:row>
      <xdr:rowOff>56029</xdr:rowOff>
    </xdr:from>
    <xdr:to>
      <xdr:col>1</xdr:col>
      <xdr:colOff>364639</xdr:colOff>
      <xdr:row>3</xdr:row>
      <xdr:rowOff>31937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9088" y="56029"/>
          <a:ext cx="606126" cy="53788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1.%20SG%20S&amp;SO%20Marcobre\11.%20Controles%20operacionales\12.%20Programa%20de%20Liderazgo%20Visible\2.%20Cumplimiento\2018\Analisis%20Tendencias%20Jul%20-%20Set\Septiembre\BD%20VC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as"/>
      <sheetName val="VCC 1"/>
      <sheetName val="VCC 2"/>
      <sheetName val="VCC 3"/>
      <sheetName val="VCC 4"/>
      <sheetName val="VCC 5"/>
      <sheetName val="VCC 6"/>
      <sheetName val="VCC 7"/>
      <sheetName val="VCC 8"/>
      <sheetName val="VCC 9"/>
      <sheetName val="VCC 10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DDCA-7B66-4737-BE82-6751BFD833A7}">
  <dimension ref="A1:S392"/>
  <sheetViews>
    <sheetView topLeftCell="F1" zoomScale="85" zoomScaleNormal="85" workbookViewId="0">
      <selection activeCell="A5" sqref="A5:S8"/>
    </sheetView>
  </sheetViews>
  <sheetFormatPr baseColWidth="10" defaultColWidth="0" defaultRowHeight="12.75" zeroHeight="1" x14ac:dyDescent="0.2"/>
  <cols>
    <col min="1" max="1" width="13.83203125" style="1" customWidth="1"/>
    <col min="2" max="3" width="12" style="1" customWidth="1"/>
    <col min="4" max="4" width="18.6640625" style="1" customWidth="1"/>
    <col min="5" max="5" width="23.6640625" style="1" customWidth="1"/>
    <col min="6" max="6" width="10.83203125" style="1" customWidth="1"/>
    <col min="7" max="7" width="10.5" style="1" customWidth="1"/>
    <col min="8" max="8" width="12.5" style="1" customWidth="1"/>
    <col min="9" max="9" width="12.33203125" style="1" customWidth="1"/>
    <col min="10" max="10" width="13.33203125" style="1" customWidth="1"/>
    <col min="11" max="11" width="15.6640625" style="1" customWidth="1"/>
    <col min="12" max="12" width="12.5" style="1" customWidth="1"/>
    <col min="13" max="13" width="11.83203125" style="1" customWidth="1"/>
    <col min="14" max="14" width="13" style="1" customWidth="1"/>
    <col min="15" max="16" width="17.83203125" style="1" customWidth="1"/>
    <col min="17" max="17" width="39.5" style="1" customWidth="1"/>
    <col min="18" max="19" width="12" style="1" customWidth="1"/>
    <col min="20" max="16384" width="12" style="1" hidden="1"/>
  </cols>
  <sheetData>
    <row r="1" spans="1:19" s="39" customFormat="1" x14ac:dyDescent="0.2">
      <c r="A1" s="73" t="s">
        <v>38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</row>
    <row r="2" spans="1:19" s="39" customFormat="1" x14ac:dyDescent="0.2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</row>
    <row r="3" spans="1:19" s="39" customFormat="1" ht="21" customHeight="1" x14ac:dyDescent="0.2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</row>
    <row r="4" spans="1:19" s="39" customFormat="1" ht="21" customHeight="1" x14ac:dyDescent="0.2">
      <c r="A4" s="40"/>
      <c r="B4" s="40"/>
      <c r="C4" s="40"/>
      <c r="D4" s="40"/>
      <c r="E4" s="40"/>
      <c r="F4" s="41">
        <f t="shared" ref="F4:O4" si="0">+SUM(F6:F1048576)</f>
        <v>0</v>
      </c>
      <c r="G4" s="41">
        <f t="shared" si="0"/>
        <v>0</v>
      </c>
      <c r="H4" s="41">
        <f t="shared" si="0"/>
        <v>0</v>
      </c>
      <c r="I4" s="41">
        <f t="shared" si="0"/>
        <v>0</v>
      </c>
      <c r="J4" s="41">
        <f t="shared" si="0"/>
        <v>0</v>
      </c>
      <c r="K4" s="41">
        <f t="shared" si="0"/>
        <v>0</v>
      </c>
      <c r="L4" s="41">
        <f t="shared" si="0"/>
        <v>0</v>
      </c>
      <c r="M4" s="41">
        <f t="shared" si="0"/>
        <v>0</v>
      </c>
      <c r="N4" s="41">
        <f t="shared" si="0"/>
        <v>0</v>
      </c>
      <c r="O4" s="41">
        <f t="shared" si="0"/>
        <v>0</v>
      </c>
      <c r="P4" s="41"/>
      <c r="Q4" s="40"/>
      <c r="R4" s="40"/>
    </row>
    <row r="5" spans="1:19" ht="106.5" customHeight="1" x14ac:dyDescent="0.2">
      <c r="A5" s="28" t="s">
        <v>45</v>
      </c>
      <c r="B5" s="28" t="s">
        <v>39</v>
      </c>
      <c r="C5" s="28" t="s">
        <v>40</v>
      </c>
      <c r="D5" s="29" t="s">
        <v>41</v>
      </c>
      <c r="E5" s="28" t="s">
        <v>42</v>
      </c>
      <c r="F5" s="30" t="s">
        <v>48</v>
      </c>
      <c r="G5" s="30" t="s">
        <v>49</v>
      </c>
      <c r="H5" s="30" t="s">
        <v>53</v>
      </c>
      <c r="I5" s="30" t="s">
        <v>50</v>
      </c>
      <c r="J5" s="30" t="s">
        <v>54</v>
      </c>
      <c r="K5" s="30" t="s">
        <v>55</v>
      </c>
      <c r="L5" s="30" t="s">
        <v>56</v>
      </c>
      <c r="M5" s="30" t="s">
        <v>57</v>
      </c>
      <c r="N5" s="30" t="s">
        <v>58</v>
      </c>
      <c r="O5" s="30" t="s">
        <v>59</v>
      </c>
      <c r="P5" s="30" t="s">
        <v>64</v>
      </c>
      <c r="Q5" s="30" t="s">
        <v>65</v>
      </c>
      <c r="R5" s="30" t="s">
        <v>66</v>
      </c>
      <c r="S5" s="30" t="s">
        <v>44</v>
      </c>
    </row>
    <row r="6" spans="1:19" x14ac:dyDescent="0.2">
      <c r="A6" s="31" t="str">
        <f>'9.FALLA DE TERRENO'!I6</f>
        <v>Civiles Moviemiento de tierra</v>
      </c>
      <c r="B6" s="32" t="str">
        <f>IF('9.FALLA DE TERRENO'!I7="","",TEXT('9.FALLA DE TERRENO'!I7,"mmmm"))</f>
        <v>Mayo</v>
      </c>
      <c r="C6" s="33" t="str">
        <f>'9.FALLA DE TERRENO'!I3</f>
        <v>CCICSK</v>
      </c>
      <c r="D6" s="33" t="str">
        <f>'9.FALLA DE TERRENO'!I4</f>
        <v>Chancadora primaria de oxidos, Gabiones</v>
      </c>
      <c r="E6" s="33" t="str">
        <f>'9.FALLA DE TERRENO'!I5</f>
        <v>Excavación</v>
      </c>
      <c r="F6" s="33" t="str">
        <f>IF('9.FALLA DE TERRENO'!D4="X","SI",IF('9.FALLA DE TERRENO'!E4="X","NO","NA"))</f>
        <v>NO</v>
      </c>
      <c r="G6" s="33" t="str">
        <f>IF('9.FALLA DE TERRENO'!D5="X","SI",IF('9.FALLA DE TERRENO'!E5="X","NO","NA"))</f>
        <v>NO</v>
      </c>
      <c r="H6" s="33" t="str">
        <f>IF('9.FALLA DE TERRENO'!D6="X","SI",IF('9.FALLA DE TERRENO'!E6="X","NO","NA"))</f>
        <v>NO</v>
      </c>
      <c r="I6" s="33" t="str">
        <f>IF('9.FALLA DE TERRENO'!D7="X","SI",IF('9.FALLA DE TERRENO'!E7="X","NO","NA"))</f>
        <v>NO</v>
      </c>
      <c r="J6" s="33" t="str">
        <f>IF('9.FALLA DE TERRENO'!D8="X","SI",IF('9.FALLA DE TERRENO'!E8="X","NO","NA"))</f>
        <v>NO</v>
      </c>
      <c r="K6" s="33" t="str">
        <f>IF('9.FALLA DE TERRENO'!D9="X","SI",IF('9.FALLA DE TERRENO'!E9="X","NO","NA"))</f>
        <v>SI</v>
      </c>
      <c r="L6" s="33" t="str">
        <f>IF('9.FALLA DE TERRENO'!D10="X","SI",IF('9.FALLA DE TERRENO'!E10="X","NO","NA"))</f>
        <v>SI</v>
      </c>
      <c r="M6" s="33" t="str">
        <f>IF('9.FALLA DE TERRENO'!D11="X","SI",IF('9.FALLA DE TERRENO'!E11="X","NO","NA"))</f>
        <v>SI</v>
      </c>
      <c r="N6" s="33" t="str">
        <f>IF('9.FALLA DE TERRENO'!D12="X","SI",IF('9.FALLA DE TERRENO'!E12="X","NO","NA"))</f>
        <v>SI</v>
      </c>
      <c r="O6" s="33" t="str">
        <f>IF('9.FALLA DE TERRENO'!D13="X","SI",IF('9.FALLA DE TERRENO'!E13="X","NO","NA"))</f>
        <v>NO</v>
      </c>
      <c r="P6" s="34" t="str">
        <f>'9.FALLA DE TERRENO'!H10</f>
        <v>Se coloco barreras rigidas en talud</v>
      </c>
      <c r="Q6" s="34" t="str">
        <f>+'9.FALLA DE TERRENO'!J10</f>
        <v>Edwin Herrera</v>
      </c>
      <c r="R6" s="35" t="str">
        <f>IF('9.FALLA DE TERRENO'!K10="","",TEXT('9.FALLA DE TERRENO'!K10,"mmmm"))</f>
        <v>Abril</v>
      </c>
      <c r="S6" s="35" t="str">
        <f>+'9.FALLA DE TERRENO'!L10</f>
        <v>Cerrado</v>
      </c>
    </row>
    <row r="7" spans="1:19" x14ac:dyDescent="0.2">
      <c r="A7" s="31"/>
      <c r="B7" s="32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4">
        <f>'9.FALLA DE TERRENO'!H11</f>
        <v>0</v>
      </c>
      <c r="Q7" s="34">
        <f>+'9.FALLA DE TERRENO'!J11</f>
        <v>0</v>
      </c>
      <c r="R7" s="35" t="str">
        <f>IF('9.FALLA DE TERRENO'!K11="","",TEXT('9.FALLA DE TERRENO'!K11,"mmmm"))</f>
        <v/>
      </c>
      <c r="S7" s="35">
        <f>+'9.FALLA DE TERRENO'!L11</f>
        <v>0</v>
      </c>
    </row>
    <row r="8" spans="1:19" x14ac:dyDescent="0.2">
      <c r="A8" s="31"/>
      <c r="B8" s="32"/>
      <c r="C8" s="33"/>
      <c r="D8" s="33"/>
      <c r="E8" s="36"/>
      <c r="F8" s="37"/>
      <c r="G8" s="37"/>
      <c r="H8" s="38"/>
      <c r="I8" s="38"/>
      <c r="J8" s="37"/>
      <c r="K8" s="37"/>
      <c r="L8" s="37"/>
      <c r="M8" s="37"/>
      <c r="N8" s="37"/>
      <c r="O8" s="37"/>
      <c r="P8" s="34">
        <f>'9.FALLA DE TERRENO'!H12</f>
        <v>0</v>
      </c>
      <c r="Q8" s="34">
        <f>+'9.FALLA DE TERRENO'!J12</f>
        <v>0</v>
      </c>
      <c r="R8" s="35" t="str">
        <f>IF('9.FALLA DE TERRENO'!K12="","",TEXT('9.FALLA DE TERRENO'!K12,"mmmm"))</f>
        <v/>
      </c>
      <c r="S8" s="35">
        <f>+'9.FALLA DE TERRENO'!L12</f>
        <v>0</v>
      </c>
    </row>
    <row r="9" spans="1:19" x14ac:dyDescent="0.2">
      <c r="A9" s="31"/>
      <c r="B9" s="32"/>
      <c r="C9" s="33"/>
      <c r="D9" s="33"/>
      <c r="E9" s="33"/>
      <c r="F9" s="34"/>
      <c r="G9" s="34"/>
      <c r="H9" s="34"/>
      <c r="I9" s="34"/>
      <c r="J9" s="34"/>
      <c r="K9" s="34"/>
      <c r="L9" s="34"/>
      <c r="M9" s="34"/>
      <c r="N9" s="34"/>
      <c r="O9" s="34"/>
      <c r="P9" s="34">
        <f>'9.FALLA DE TERRENO'!H13</f>
        <v>0</v>
      </c>
      <c r="Q9" s="34">
        <f>+'9.FALLA DE TERRENO'!J13</f>
        <v>0</v>
      </c>
      <c r="R9" s="35" t="str">
        <f>IF('9.FALLA DE TERRENO'!K13="","",TEXT('9.FALLA DE TERRENO'!K13,"mmmm"))</f>
        <v/>
      </c>
      <c r="S9" s="35">
        <f>+'9.FALLA DE TERRENO'!L13</f>
        <v>0</v>
      </c>
    </row>
    <row r="10" spans="1:19" hidden="1" x14ac:dyDescent="0.2">
      <c r="A10" s="23"/>
      <c r="B10" s="24"/>
      <c r="C10" s="25"/>
      <c r="D10" s="25"/>
      <c r="E10" s="25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7"/>
    </row>
    <row r="11" spans="1:19" hidden="1" x14ac:dyDescent="0.2">
      <c r="A11" s="4"/>
      <c r="B11" s="5"/>
      <c r="C11" s="12"/>
      <c r="D11" s="6"/>
      <c r="E11" s="6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</row>
    <row r="12" spans="1:19" hidden="1" x14ac:dyDescent="0.2">
      <c r="A12" s="4"/>
      <c r="B12" s="5"/>
      <c r="C12" s="13"/>
      <c r="D12" s="6"/>
      <c r="E12" s="6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</row>
    <row r="13" spans="1:19" hidden="1" x14ac:dyDescent="0.2">
      <c r="A13" s="4"/>
      <c r="B13" s="5"/>
      <c r="C13" s="6"/>
      <c r="D13" s="6"/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</row>
    <row r="14" spans="1:19" hidden="1" x14ac:dyDescent="0.2">
      <c r="A14" s="14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</row>
    <row r="15" spans="1:19" hidden="1" x14ac:dyDescent="0.2">
      <c r="A15" s="14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</row>
    <row r="16" spans="1:19" hidden="1" x14ac:dyDescent="0.2">
      <c r="A16" s="14"/>
      <c r="B16" s="1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</row>
    <row r="17" spans="1:18" hidden="1" x14ac:dyDescent="0.2">
      <c r="A17" s="8"/>
      <c r="B17" s="17"/>
      <c r="C17" s="18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</row>
    <row r="18" spans="1:18" hidden="1" x14ac:dyDescent="0.2">
      <c r="A18" s="14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</row>
    <row r="19" spans="1:18" hidden="1" x14ac:dyDescent="0.2">
      <c r="A19" s="19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</row>
    <row r="20" spans="1:18" hidden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</row>
    <row r="21" spans="1:18" hidden="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</row>
    <row r="22" spans="1:18" hidden="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</row>
    <row r="23" spans="1:18" hidden="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</row>
    <row r="24" spans="1:18" hidden="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</row>
    <row r="25" spans="1:18" hidden="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</row>
    <row r="26" spans="1:18" hidden="1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</row>
    <row r="27" spans="1:18" hidden="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</row>
    <row r="28" spans="1:18" hidden="1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hidden="1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</row>
    <row r="30" spans="1:18" hidden="1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</row>
    <row r="31" spans="1:18" hidden="1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</row>
    <row r="32" spans="1:18" hidden="1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</row>
    <row r="33" spans="1:18" hidden="1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</row>
    <row r="34" spans="1:18" hidden="1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</row>
    <row r="35" spans="1:18" hidden="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</row>
    <row r="36" spans="1:18" hidden="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</row>
    <row r="37" spans="1:18" hidden="1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</row>
    <row r="38" spans="1:18" hidden="1" x14ac:dyDescent="0.2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</row>
    <row r="39" spans="1:18" hidden="1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</row>
    <row r="40" spans="1:18" hidden="1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</row>
    <row r="41" spans="1:18" hidden="1" x14ac:dyDescent="0.2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</row>
    <row r="42" spans="1:18" hidden="1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</row>
    <row r="43" spans="1:18" hidden="1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1:18" hidden="1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</row>
    <row r="45" spans="1:18" hidden="1" x14ac:dyDescent="0.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</row>
    <row r="46" spans="1:18" hidden="1" x14ac:dyDescent="0.2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</row>
    <row r="47" spans="1:18" hidden="1" x14ac:dyDescent="0.2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</row>
    <row r="48" spans="1:18" hidden="1" x14ac:dyDescent="0.2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1:18" hidden="1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1:18" hidden="1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1:18" hidden="1" x14ac:dyDescent="0.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  <row r="52" spans="1:18" hidden="1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</row>
    <row r="53" spans="1:18" hidden="1" x14ac:dyDescent="0.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</row>
    <row r="54" spans="1:18" hidden="1" x14ac:dyDescent="0.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</row>
    <row r="55" spans="1:18" hidden="1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</row>
    <row r="56" spans="1:18" hidden="1" x14ac:dyDescent="0.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</row>
    <row r="57" spans="1:18" hidden="1" x14ac:dyDescent="0.2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</row>
    <row r="58" spans="1:18" hidden="1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</row>
    <row r="59" spans="1:18" hidden="1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1:18" hidden="1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1:18" hidden="1" x14ac:dyDescent="0.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1:18" hidden="1" x14ac:dyDescent="0.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</row>
    <row r="63" spans="1:18" hidden="1" x14ac:dyDescent="0.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</row>
    <row r="64" spans="1:18" hidden="1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</row>
    <row r="65" spans="1:18" hidden="1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</row>
    <row r="66" spans="1:18" hidden="1" x14ac:dyDescent="0.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</row>
    <row r="67" spans="1:18" hidden="1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</row>
    <row r="68" spans="1:18" hidden="1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</row>
    <row r="69" spans="1:18" hidden="1" x14ac:dyDescent="0.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</row>
    <row r="70" spans="1:18" hidden="1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</row>
    <row r="71" spans="1:18" hidden="1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</row>
    <row r="72" spans="1:18" hidden="1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</row>
    <row r="73" spans="1:18" hidden="1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</row>
    <row r="74" spans="1:18" hidden="1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</row>
    <row r="75" spans="1:18" hidden="1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</row>
    <row r="76" spans="1:18" hidden="1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</row>
    <row r="77" spans="1:18" hidden="1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</row>
    <row r="78" spans="1:18" hidden="1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</row>
    <row r="79" spans="1:18" hidden="1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</row>
    <row r="80" spans="1:18" hidden="1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</row>
    <row r="81" spans="1:18" hidden="1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</row>
    <row r="82" spans="1:18" hidden="1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</row>
    <row r="83" spans="1:18" hidden="1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</row>
    <row r="84" spans="1:18" hidden="1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</row>
    <row r="85" spans="1:18" hidden="1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</row>
    <row r="86" spans="1:18" hidden="1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</row>
    <row r="87" spans="1:18" hidden="1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</row>
    <row r="88" spans="1:18" hidden="1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</row>
    <row r="89" spans="1:18" hidden="1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</row>
    <row r="90" spans="1:18" hidden="1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</row>
    <row r="91" spans="1:18" hidden="1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</row>
    <row r="92" spans="1:18" hidden="1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</row>
    <row r="93" spans="1:18" hidden="1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</row>
    <row r="94" spans="1:18" hidden="1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</row>
    <row r="95" spans="1:18" hidden="1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</row>
    <row r="96" spans="1:18" hidden="1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</row>
    <row r="97" spans="1:18" hidden="1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</row>
    <row r="98" spans="1:18" hidden="1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</row>
    <row r="99" spans="1:18" hidden="1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</row>
    <row r="100" spans="1:18" hidden="1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</row>
    <row r="101" spans="1:18" hidden="1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</row>
    <row r="102" spans="1:18" hidden="1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</row>
    <row r="103" spans="1:18" hidden="1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</row>
    <row r="104" spans="1:18" hidden="1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</row>
    <row r="105" spans="1:18" hidden="1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</row>
    <row r="106" spans="1:18" hidden="1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</row>
    <row r="107" spans="1:18" hidden="1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</row>
    <row r="108" spans="1:18" hidden="1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</row>
    <row r="109" spans="1:18" hidden="1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</row>
    <row r="110" spans="1:18" hidden="1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</row>
    <row r="111" spans="1:18" hidden="1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</row>
    <row r="112" spans="1:18" hidden="1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</row>
    <row r="113" spans="1:18" hidden="1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</row>
    <row r="114" spans="1:18" hidden="1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</row>
    <row r="115" spans="1:18" hidden="1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</row>
    <row r="116" spans="1:18" hidden="1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</row>
    <row r="117" spans="1:18" hidden="1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</row>
    <row r="118" spans="1:18" hidden="1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</row>
    <row r="119" spans="1:18" hidden="1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</row>
    <row r="120" spans="1:18" hidden="1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</row>
    <row r="121" spans="1:18" hidden="1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</row>
    <row r="122" spans="1:18" hidden="1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</row>
    <row r="123" spans="1:18" hidden="1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</row>
    <row r="124" spans="1:18" hidden="1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</row>
    <row r="125" spans="1:18" hidden="1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</row>
    <row r="126" spans="1:18" hidden="1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</row>
    <row r="127" spans="1:18" hidden="1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</row>
    <row r="128" spans="1:18" hidden="1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</row>
    <row r="129" spans="1:18" hidden="1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</row>
    <row r="130" spans="1:18" hidden="1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</row>
    <row r="131" spans="1:18" hidden="1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</row>
    <row r="132" spans="1:18" hidden="1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</row>
    <row r="133" spans="1:18" hidden="1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</row>
    <row r="134" spans="1:18" hidden="1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</row>
    <row r="135" spans="1:18" hidden="1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</row>
    <row r="136" spans="1:18" hidden="1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</row>
    <row r="137" spans="1:18" hidden="1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</row>
    <row r="138" spans="1:18" hidden="1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</row>
    <row r="139" spans="1:18" hidden="1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</row>
    <row r="140" spans="1:18" hidden="1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</row>
    <row r="141" spans="1:18" hidden="1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</row>
    <row r="142" spans="1:18" hidden="1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</row>
    <row r="143" spans="1:18" hidden="1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</row>
    <row r="144" spans="1:18" hidden="1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</row>
    <row r="145" spans="1:18" hidden="1" x14ac:dyDescent="0.2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</row>
    <row r="146" spans="1:18" hidden="1" x14ac:dyDescent="0.2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</row>
    <row r="147" spans="1:18" hidden="1" x14ac:dyDescent="0.2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</row>
    <row r="148" spans="1:18" hidden="1" x14ac:dyDescent="0.2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</row>
    <row r="149" spans="1:18" hidden="1" x14ac:dyDescent="0.2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</row>
    <row r="150" spans="1:18" hidden="1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</row>
    <row r="151" spans="1:18" hidden="1" x14ac:dyDescent="0.2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</row>
    <row r="152" spans="1:18" hidden="1" x14ac:dyDescent="0.2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</row>
    <row r="153" spans="1:18" hidden="1" x14ac:dyDescent="0.2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</row>
    <row r="154" spans="1:18" hidden="1" x14ac:dyDescent="0.2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</row>
    <row r="155" spans="1:18" hidden="1" x14ac:dyDescent="0.2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</row>
    <row r="156" spans="1:18" hidden="1" x14ac:dyDescent="0.2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</row>
    <row r="157" spans="1:18" hidden="1" x14ac:dyDescent="0.2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</row>
    <row r="158" spans="1:18" hidden="1" x14ac:dyDescent="0.2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</row>
    <row r="159" spans="1:18" hidden="1" x14ac:dyDescent="0.2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</row>
    <row r="160" spans="1:18" hidden="1" x14ac:dyDescent="0.2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</row>
    <row r="161" spans="1:18" hidden="1" x14ac:dyDescent="0.2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</row>
    <row r="162" spans="1:18" hidden="1" x14ac:dyDescent="0.2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</row>
    <row r="163" spans="1:18" hidden="1" x14ac:dyDescent="0.2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</row>
    <row r="164" spans="1:18" hidden="1" x14ac:dyDescent="0.2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</row>
    <row r="165" spans="1:18" hidden="1" x14ac:dyDescent="0.2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</row>
    <row r="166" spans="1:18" hidden="1" x14ac:dyDescent="0.2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</row>
    <row r="167" spans="1:18" hidden="1" x14ac:dyDescent="0.2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</row>
    <row r="168" spans="1:18" hidden="1" x14ac:dyDescent="0.2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</row>
    <row r="169" spans="1:18" hidden="1" x14ac:dyDescent="0.2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</row>
    <row r="170" spans="1:18" hidden="1" x14ac:dyDescent="0.2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</row>
    <row r="171" spans="1:18" hidden="1" x14ac:dyDescent="0.2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</row>
    <row r="172" spans="1:18" hidden="1" x14ac:dyDescent="0.2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</row>
    <row r="173" spans="1:18" hidden="1" x14ac:dyDescent="0.2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</row>
    <row r="174" spans="1:18" hidden="1" x14ac:dyDescent="0.2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</row>
    <row r="175" spans="1:18" hidden="1" x14ac:dyDescent="0.2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</row>
    <row r="176" spans="1:18" hidden="1" x14ac:dyDescent="0.2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</row>
    <row r="177" spans="1:18" hidden="1" x14ac:dyDescent="0.2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</row>
    <row r="178" spans="1:18" hidden="1" x14ac:dyDescent="0.2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</row>
    <row r="179" spans="1:18" hidden="1" x14ac:dyDescent="0.2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</row>
    <row r="180" spans="1:18" hidden="1" x14ac:dyDescent="0.2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</row>
    <row r="181" spans="1:18" hidden="1" x14ac:dyDescent="0.2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</row>
    <row r="182" spans="1:18" hidden="1" x14ac:dyDescent="0.2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</row>
    <row r="183" spans="1:18" hidden="1" x14ac:dyDescent="0.2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</row>
    <row r="184" spans="1:18" hidden="1" x14ac:dyDescent="0.2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</row>
    <row r="185" spans="1:18" hidden="1" x14ac:dyDescent="0.2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</row>
    <row r="186" spans="1:18" hidden="1" x14ac:dyDescent="0.2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</row>
    <row r="187" spans="1:18" hidden="1" x14ac:dyDescent="0.2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</row>
    <row r="188" spans="1:18" hidden="1" x14ac:dyDescent="0.2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</row>
    <row r="189" spans="1:18" hidden="1" x14ac:dyDescent="0.2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</row>
    <row r="190" spans="1:18" hidden="1" x14ac:dyDescent="0.2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</row>
    <row r="191" spans="1:18" hidden="1" x14ac:dyDescent="0.2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</row>
    <row r="192" spans="1:18" hidden="1" x14ac:dyDescent="0.2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</row>
    <row r="193" spans="1:18" hidden="1" x14ac:dyDescent="0.2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</row>
    <row r="194" spans="1:18" hidden="1" x14ac:dyDescent="0.2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</row>
    <row r="195" spans="1:18" hidden="1" x14ac:dyDescent="0.2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</row>
    <row r="196" spans="1:18" hidden="1" x14ac:dyDescent="0.2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</row>
    <row r="197" spans="1:18" hidden="1" x14ac:dyDescent="0.2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</row>
    <row r="198" spans="1:18" hidden="1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</row>
    <row r="199" spans="1:18" hidden="1" x14ac:dyDescent="0.2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</row>
    <row r="200" spans="1:18" hidden="1" x14ac:dyDescent="0.2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</row>
    <row r="201" spans="1:18" hidden="1" x14ac:dyDescent="0.2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</row>
    <row r="202" spans="1:18" hidden="1" x14ac:dyDescent="0.2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</row>
    <row r="203" spans="1:18" hidden="1" x14ac:dyDescent="0.2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</row>
    <row r="204" spans="1:18" hidden="1" x14ac:dyDescent="0.2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</row>
    <row r="205" spans="1:18" hidden="1" x14ac:dyDescent="0.2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</row>
    <row r="206" spans="1:18" hidden="1" x14ac:dyDescent="0.2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</row>
    <row r="207" spans="1:18" hidden="1" x14ac:dyDescent="0.2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</row>
    <row r="208" spans="1:18" hidden="1" x14ac:dyDescent="0.2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</row>
    <row r="209" spans="1:18" hidden="1" x14ac:dyDescent="0.2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</row>
    <row r="210" spans="1:18" hidden="1" x14ac:dyDescent="0.2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</row>
    <row r="211" spans="1:18" hidden="1" x14ac:dyDescent="0.2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</row>
    <row r="212" spans="1:18" hidden="1" x14ac:dyDescent="0.2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</row>
    <row r="213" spans="1:18" hidden="1" x14ac:dyDescent="0.2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</row>
    <row r="214" spans="1:18" hidden="1" x14ac:dyDescent="0.2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</row>
    <row r="215" spans="1:18" hidden="1" x14ac:dyDescent="0.2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</row>
    <row r="216" spans="1:18" hidden="1" x14ac:dyDescent="0.2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</row>
    <row r="217" spans="1:18" hidden="1" x14ac:dyDescent="0.2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</row>
    <row r="218" spans="1:18" hidden="1" x14ac:dyDescent="0.2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</row>
    <row r="219" spans="1:18" hidden="1" x14ac:dyDescent="0.2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</row>
    <row r="220" spans="1:18" hidden="1" x14ac:dyDescent="0.2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</row>
    <row r="221" spans="1:18" hidden="1" x14ac:dyDescent="0.2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</row>
    <row r="222" spans="1:18" hidden="1" x14ac:dyDescent="0.2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</row>
    <row r="223" spans="1:18" hidden="1" x14ac:dyDescent="0.2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</row>
    <row r="224" spans="1:18" hidden="1" x14ac:dyDescent="0.2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</row>
    <row r="225" spans="1:18" hidden="1" x14ac:dyDescent="0.2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</row>
    <row r="226" spans="1:18" hidden="1" x14ac:dyDescent="0.2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</row>
    <row r="227" spans="1:18" hidden="1" x14ac:dyDescent="0.2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</row>
    <row r="228" spans="1:18" hidden="1" x14ac:dyDescent="0.2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</row>
    <row r="229" spans="1:18" hidden="1" x14ac:dyDescent="0.2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</row>
    <row r="230" spans="1:18" hidden="1" x14ac:dyDescent="0.2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</row>
    <row r="231" spans="1:18" hidden="1" x14ac:dyDescent="0.2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</row>
    <row r="232" spans="1:18" hidden="1" x14ac:dyDescent="0.2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</row>
    <row r="233" spans="1:18" hidden="1" x14ac:dyDescent="0.2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</row>
    <row r="234" spans="1:18" hidden="1" x14ac:dyDescent="0.2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</row>
    <row r="235" spans="1:18" hidden="1" x14ac:dyDescent="0.2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</row>
    <row r="236" spans="1:18" hidden="1" x14ac:dyDescent="0.2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</row>
    <row r="237" spans="1:18" hidden="1" x14ac:dyDescent="0.2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</row>
    <row r="238" spans="1:18" hidden="1" x14ac:dyDescent="0.2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</row>
    <row r="239" spans="1:18" hidden="1" x14ac:dyDescent="0.2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</row>
    <row r="240" spans="1:18" hidden="1" x14ac:dyDescent="0.2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</row>
    <row r="241" spans="1:18" hidden="1" x14ac:dyDescent="0.2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</row>
    <row r="242" spans="1:18" hidden="1" x14ac:dyDescent="0.2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</row>
    <row r="243" spans="1:18" hidden="1" x14ac:dyDescent="0.2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</row>
    <row r="244" spans="1:18" hidden="1" x14ac:dyDescent="0.2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</row>
    <row r="245" spans="1:18" hidden="1" x14ac:dyDescent="0.2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</row>
    <row r="246" spans="1:18" hidden="1" x14ac:dyDescent="0.2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</row>
    <row r="247" spans="1:18" hidden="1" x14ac:dyDescent="0.2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</row>
    <row r="248" spans="1:18" hidden="1" x14ac:dyDescent="0.2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</row>
    <row r="249" spans="1:18" hidden="1" x14ac:dyDescent="0.2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</row>
    <row r="250" spans="1:18" hidden="1" x14ac:dyDescent="0.2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</row>
    <row r="251" spans="1:18" hidden="1" x14ac:dyDescent="0.2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</row>
    <row r="252" spans="1:18" hidden="1" x14ac:dyDescent="0.2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</row>
    <row r="253" spans="1:18" hidden="1" x14ac:dyDescent="0.2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</row>
    <row r="254" spans="1:18" hidden="1" x14ac:dyDescent="0.2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</row>
    <row r="255" spans="1:18" hidden="1" x14ac:dyDescent="0.2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</row>
    <row r="256" spans="1:18" hidden="1" x14ac:dyDescent="0.2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</row>
    <row r="257" spans="1:18" hidden="1" x14ac:dyDescent="0.2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</row>
    <row r="258" spans="1:18" hidden="1" x14ac:dyDescent="0.2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</row>
    <row r="259" spans="1:18" hidden="1" x14ac:dyDescent="0.2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</row>
    <row r="260" spans="1:18" hidden="1" x14ac:dyDescent="0.2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</row>
    <row r="261" spans="1:18" hidden="1" x14ac:dyDescent="0.2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</row>
    <row r="262" spans="1:18" hidden="1" x14ac:dyDescent="0.2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</row>
    <row r="263" spans="1:18" hidden="1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</row>
    <row r="264" spans="1:18" hidden="1" x14ac:dyDescent="0.2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</row>
    <row r="265" spans="1:18" hidden="1" x14ac:dyDescent="0.2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</row>
    <row r="266" spans="1:18" hidden="1" x14ac:dyDescent="0.2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</row>
    <row r="267" spans="1:18" hidden="1" x14ac:dyDescent="0.2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</row>
    <row r="268" spans="1:18" hidden="1" x14ac:dyDescent="0.2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</row>
    <row r="269" spans="1:18" hidden="1" x14ac:dyDescent="0.2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</row>
    <row r="270" spans="1:18" hidden="1" x14ac:dyDescent="0.2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</row>
    <row r="271" spans="1:18" hidden="1" x14ac:dyDescent="0.2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</row>
    <row r="272" spans="1:18" hidden="1" x14ac:dyDescent="0.2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</row>
    <row r="273" spans="1:18" hidden="1" x14ac:dyDescent="0.2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</row>
    <row r="274" spans="1:18" hidden="1" x14ac:dyDescent="0.2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</row>
    <row r="275" spans="1:18" hidden="1" x14ac:dyDescent="0.2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</row>
    <row r="276" spans="1:18" hidden="1" x14ac:dyDescent="0.2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</row>
    <row r="277" spans="1:18" hidden="1" x14ac:dyDescent="0.2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</row>
    <row r="278" spans="1:18" hidden="1" x14ac:dyDescent="0.2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</row>
    <row r="279" spans="1:18" hidden="1" x14ac:dyDescent="0.2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</row>
    <row r="280" spans="1:18" hidden="1" x14ac:dyDescent="0.2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</row>
    <row r="281" spans="1:18" hidden="1" x14ac:dyDescent="0.2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</row>
    <row r="282" spans="1:18" hidden="1" x14ac:dyDescent="0.2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</row>
    <row r="283" spans="1:18" hidden="1" x14ac:dyDescent="0.2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</row>
    <row r="284" spans="1:18" hidden="1" x14ac:dyDescent="0.2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</row>
    <row r="285" spans="1:18" hidden="1" x14ac:dyDescent="0.2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</row>
    <row r="286" spans="1:18" hidden="1" x14ac:dyDescent="0.2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</row>
    <row r="287" spans="1:18" hidden="1" x14ac:dyDescent="0.2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</row>
    <row r="288" spans="1:18" hidden="1" x14ac:dyDescent="0.2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</row>
    <row r="289" spans="1:18" hidden="1" x14ac:dyDescent="0.2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</row>
    <row r="290" spans="1:18" hidden="1" x14ac:dyDescent="0.2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</row>
    <row r="291" spans="1:18" hidden="1" x14ac:dyDescent="0.2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</row>
    <row r="292" spans="1:18" hidden="1" x14ac:dyDescent="0.2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</row>
    <row r="293" spans="1:18" hidden="1" x14ac:dyDescent="0.2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</row>
    <row r="294" spans="1:18" hidden="1" x14ac:dyDescent="0.2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</row>
    <row r="295" spans="1:18" hidden="1" x14ac:dyDescent="0.2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</row>
    <row r="296" spans="1:18" hidden="1" x14ac:dyDescent="0.2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</row>
    <row r="297" spans="1:18" hidden="1" x14ac:dyDescent="0.2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</row>
    <row r="298" spans="1:18" hidden="1" x14ac:dyDescent="0.2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</row>
    <row r="299" spans="1:18" hidden="1" x14ac:dyDescent="0.2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</row>
    <row r="300" spans="1:18" hidden="1" x14ac:dyDescent="0.2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</row>
    <row r="301" spans="1:18" hidden="1" x14ac:dyDescent="0.2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</row>
    <row r="302" spans="1:18" hidden="1" x14ac:dyDescent="0.2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</row>
    <row r="303" spans="1:18" hidden="1" x14ac:dyDescent="0.2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</row>
    <row r="304" spans="1:18" hidden="1" x14ac:dyDescent="0.2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</row>
    <row r="305" spans="1:18" hidden="1" x14ac:dyDescent="0.2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</row>
    <row r="306" spans="1:18" hidden="1" x14ac:dyDescent="0.2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</row>
    <row r="307" spans="1:18" hidden="1" x14ac:dyDescent="0.2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</row>
    <row r="308" spans="1:18" hidden="1" x14ac:dyDescent="0.2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</row>
    <row r="309" spans="1:18" hidden="1" x14ac:dyDescent="0.2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</row>
    <row r="310" spans="1:18" hidden="1" x14ac:dyDescent="0.2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</row>
    <row r="311" spans="1:18" hidden="1" x14ac:dyDescent="0.2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</row>
    <row r="312" spans="1:18" hidden="1" x14ac:dyDescent="0.2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</row>
    <row r="313" spans="1:18" hidden="1" x14ac:dyDescent="0.2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</row>
    <row r="314" spans="1:18" hidden="1" x14ac:dyDescent="0.2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</row>
    <row r="315" spans="1:18" hidden="1" x14ac:dyDescent="0.2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</row>
    <row r="316" spans="1:18" hidden="1" x14ac:dyDescent="0.2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</row>
    <row r="317" spans="1:18" hidden="1" x14ac:dyDescent="0.2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</row>
    <row r="318" spans="1:18" hidden="1" x14ac:dyDescent="0.2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</row>
    <row r="319" spans="1:18" hidden="1" x14ac:dyDescent="0.2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</row>
    <row r="320" spans="1:18" hidden="1" x14ac:dyDescent="0.2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</row>
    <row r="321" spans="1:18" hidden="1" x14ac:dyDescent="0.2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</row>
    <row r="322" spans="1:18" hidden="1" x14ac:dyDescent="0.2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</row>
    <row r="323" spans="1:18" hidden="1" x14ac:dyDescent="0.2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</row>
    <row r="324" spans="1:18" hidden="1" x14ac:dyDescent="0.2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</row>
    <row r="325" spans="1:18" hidden="1" x14ac:dyDescent="0.2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</row>
    <row r="326" spans="1:18" hidden="1" x14ac:dyDescent="0.2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</row>
    <row r="327" spans="1:18" hidden="1" x14ac:dyDescent="0.2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</row>
    <row r="328" spans="1:18" hidden="1" x14ac:dyDescent="0.2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</row>
    <row r="329" spans="1:18" hidden="1" x14ac:dyDescent="0.2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</row>
    <row r="330" spans="1:18" hidden="1" x14ac:dyDescent="0.2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</row>
    <row r="331" spans="1:18" hidden="1" x14ac:dyDescent="0.2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</row>
    <row r="332" spans="1:18" hidden="1" x14ac:dyDescent="0.2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</row>
    <row r="333" spans="1:18" hidden="1" x14ac:dyDescent="0.2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</row>
    <row r="334" spans="1:18" hidden="1" x14ac:dyDescent="0.2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</row>
    <row r="335" spans="1:18" hidden="1" x14ac:dyDescent="0.2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</row>
    <row r="336" spans="1:18" hidden="1" x14ac:dyDescent="0.2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</row>
    <row r="337" spans="1:18" hidden="1" x14ac:dyDescent="0.2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</row>
    <row r="338" spans="1:18" hidden="1" x14ac:dyDescent="0.2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</row>
    <row r="339" spans="1:18" hidden="1" x14ac:dyDescent="0.2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</row>
    <row r="340" spans="1:18" hidden="1" x14ac:dyDescent="0.2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</row>
    <row r="341" spans="1:18" hidden="1" x14ac:dyDescent="0.2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</row>
    <row r="342" spans="1:18" hidden="1" x14ac:dyDescent="0.2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</row>
    <row r="343" spans="1:18" hidden="1" x14ac:dyDescent="0.2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</row>
    <row r="344" spans="1:18" hidden="1" x14ac:dyDescent="0.2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</row>
    <row r="345" spans="1:18" hidden="1" x14ac:dyDescent="0.2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</row>
    <row r="346" spans="1:18" hidden="1" x14ac:dyDescent="0.2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</row>
    <row r="347" spans="1:18" hidden="1" x14ac:dyDescent="0.2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</row>
    <row r="348" spans="1:18" hidden="1" x14ac:dyDescent="0.2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</row>
    <row r="349" spans="1:18" hidden="1" x14ac:dyDescent="0.2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</row>
    <row r="350" spans="1:18" hidden="1" x14ac:dyDescent="0.2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</row>
    <row r="351" spans="1:18" hidden="1" x14ac:dyDescent="0.2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</row>
    <row r="352" spans="1:18" hidden="1" x14ac:dyDescent="0.2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</row>
    <row r="353" spans="1:18" hidden="1" x14ac:dyDescent="0.2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</row>
    <row r="354" spans="1:18" hidden="1" x14ac:dyDescent="0.2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</row>
    <row r="355" spans="1:18" hidden="1" x14ac:dyDescent="0.2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</row>
    <row r="356" spans="1:18" hidden="1" x14ac:dyDescent="0.2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</row>
    <row r="357" spans="1:18" hidden="1" x14ac:dyDescent="0.2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</row>
    <row r="358" spans="1:18" hidden="1" x14ac:dyDescent="0.2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</row>
    <row r="359" spans="1:18" hidden="1" x14ac:dyDescent="0.2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</row>
    <row r="360" spans="1:18" hidden="1" x14ac:dyDescent="0.2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</row>
    <row r="361" spans="1:18" hidden="1" x14ac:dyDescent="0.2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</row>
    <row r="362" spans="1:18" hidden="1" x14ac:dyDescent="0.2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</row>
    <row r="363" spans="1:18" hidden="1" x14ac:dyDescent="0.2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</row>
    <row r="364" spans="1:18" hidden="1" x14ac:dyDescent="0.2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</row>
    <row r="365" spans="1:18" hidden="1" x14ac:dyDescent="0.2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</row>
    <row r="366" spans="1:18" hidden="1" x14ac:dyDescent="0.2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</row>
    <row r="367" spans="1:18" hidden="1" x14ac:dyDescent="0.2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</row>
    <row r="368" spans="1:18" hidden="1" x14ac:dyDescent="0.2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</row>
    <row r="369" spans="1:18" hidden="1" x14ac:dyDescent="0.2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</row>
    <row r="370" spans="1:18" hidden="1" x14ac:dyDescent="0.2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</row>
    <row r="371" spans="1:18" hidden="1" x14ac:dyDescent="0.2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</row>
    <row r="372" spans="1:18" hidden="1" x14ac:dyDescent="0.2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</row>
    <row r="373" spans="1:18" hidden="1" x14ac:dyDescent="0.2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</row>
    <row r="374" spans="1:18" hidden="1" x14ac:dyDescent="0.2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</row>
    <row r="375" spans="1:18" hidden="1" x14ac:dyDescent="0.2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</row>
    <row r="376" spans="1:18" hidden="1" x14ac:dyDescent="0.2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</row>
    <row r="377" spans="1:18" hidden="1" x14ac:dyDescent="0.2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</row>
    <row r="378" spans="1:18" hidden="1" x14ac:dyDescent="0.2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</row>
    <row r="379" spans="1:18" hidden="1" x14ac:dyDescent="0.2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</row>
    <row r="380" spans="1:18" hidden="1" x14ac:dyDescent="0.2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</row>
    <row r="381" spans="1:18" hidden="1" x14ac:dyDescent="0.2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</row>
    <row r="382" spans="1:18" hidden="1" x14ac:dyDescent="0.2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</row>
    <row r="383" spans="1:18" hidden="1" x14ac:dyDescent="0.2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</row>
    <row r="384" spans="1:18" hidden="1" x14ac:dyDescent="0.2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</row>
    <row r="385" spans="1:18" hidden="1" x14ac:dyDescent="0.2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</row>
    <row r="386" spans="1:18" hidden="1" x14ac:dyDescent="0.2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</row>
    <row r="387" spans="1:18" hidden="1" x14ac:dyDescent="0.2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</row>
    <row r="388" spans="1:18" hidden="1" x14ac:dyDescent="0.2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</row>
    <row r="389" spans="1:18" hidden="1" x14ac:dyDescent="0.2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</row>
    <row r="390" spans="1:18" hidden="1" x14ac:dyDescent="0.2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</row>
    <row r="391" spans="1:18" hidden="1" x14ac:dyDescent="0.2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</row>
    <row r="392" spans="1:18" hidden="1" x14ac:dyDescent="0.2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</row>
  </sheetData>
  <sheetProtection algorithmName="SHA-512" hashValue="9mA1bHycbaVpdPcPThM7AOkV2SySAP+zBvfxJL9RutS40KJpB/YvALfMRgwHG10fxgTQ4NmuDFZaqyqN/Fwcxw==" saltValue="AZKkCgEuB6vmpio3HnMxsA==" spinCount="100000" sheet="1" objects="1" scenarios="1"/>
  <mergeCells count="1">
    <mergeCell ref="A1:R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F14"/>
  <sheetViews>
    <sheetView showGridLines="0" tabSelected="1" topLeftCell="B1" zoomScale="85" zoomScaleNormal="85" zoomScaleSheetLayoutView="115" workbookViewId="0">
      <selection activeCell="E10" sqref="E10"/>
    </sheetView>
  </sheetViews>
  <sheetFormatPr baseColWidth="10" defaultColWidth="0" defaultRowHeight="12.75" zeroHeight="1" x14ac:dyDescent="0.2"/>
  <cols>
    <col min="1" max="1" width="3.1640625" style="50" hidden="1" customWidth="1"/>
    <col min="2" max="2" width="17" style="68" customWidth="1"/>
    <col min="3" max="3" width="34.6640625" style="50" customWidth="1"/>
    <col min="4" max="6" width="5" style="69" customWidth="1"/>
    <col min="7" max="7" width="2.83203125" style="50" customWidth="1"/>
    <col min="8" max="10" width="16.83203125" style="52" customWidth="1"/>
    <col min="11" max="11" width="15.5" style="50" customWidth="1"/>
    <col min="12" max="14" width="3.83203125" style="53" customWidth="1"/>
    <col min="15" max="15" width="1" style="50" customWidth="1"/>
    <col min="16" max="17" width="3.6640625" style="46" hidden="1" customWidth="1"/>
    <col min="18" max="18" width="7.33203125" style="54" hidden="1" customWidth="1"/>
    <col min="19" max="20" width="5.33203125" style="54" hidden="1" customWidth="1"/>
    <col min="21" max="22" width="3.6640625" style="45" hidden="1" customWidth="1"/>
    <col min="23" max="23" width="8" style="46" hidden="1" customWidth="1"/>
    <col min="24" max="24" width="5.33203125" style="46" hidden="1" customWidth="1"/>
    <col min="25" max="25" width="5" style="47" hidden="1" customWidth="1"/>
    <col min="26" max="26" width="5.33203125" style="46" hidden="1" customWidth="1"/>
    <col min="27" max="27" width="51" style="48" hidden="1" customWidth="1"/>
    <col min="28" max="28" width="61.6640625" style="48" hidden="1" customWidth="1"/>
    <col min="29" max="29" width="72.33203125" style="48" hidden="1" customWidth="1"/>
    <col min="30" max="30" width="15.33203125" style="49" hidden="1" customWidth="1"/>
    <col min="31" max="32" width="15.33203125" style="50" hidden="1" customWidth="1"/>
    <col min="33" max="16384" width="9.33203125" style="50" hidden="1"/>
  </cols>
  <sheetData>
    <row r="1" spans="2:30" ht="44.45" customHeight="1" x14ac:dyDescent="0.2">
      <c r="B1" s="42"/>
      <c r="C1" s="43" t="s">
        <v>36</v>
      </c>
      <c r="D1" s="42"/>
      <c r="E1" s="42"/>
      <c r="F1" s="42"/>
      <c r="G1" s="44"/>
      <c r="H1" s="42"/>
      <c r="I1" s="74" t="s">
        <v>36</v>
      </c>
      <c r="J1" s="74"/>
      <c r="K1" s="74"/>
      <c r="L1" s="42"/>
      <c r="M1" s="42"/>
      <c r="N1" s="42"/>
      <c r="O1" s="44"/>
      <c r="P1" s="44"/>
      <c r="Q1" s="44"/>
      <c r="R1" s="44"/>
      <c r="S1" s="44"/>
      <c r="T1" s="44"/>
    </row>
    <row r="2" spans="2:30" ht="17.45" customHeight="1" x14ac:dyDescent="0.2">
      <c r="B2" s="51" t="s">
        <v>61</v>
      </c>
      <c r="C2" s="51" t="s">
        <v>47</v>
      </c>
      <c r="D2" s="89" t="s">
        <v>62</v>
      </c>
      <c r="E2" s="90"/>
      <c r="F2" s="91"/>
    </row>
    <row r="3" spans="2:30" ht="30" customHeight="1" x14ac:dyDescent="0.2">
      <c r="B3" s="55" t="s">
        <v>19</v>
      </c>
      <c r="C3" s="56" t="s">
        <v>0</v>
      </c>
      <c r="D3" s="55" t="s">
        <v>1</v>
      </c>
      <c r="E3" s="55" t="s">
        <v>2</v>
      </c>
      <c r="F3" s="55" t="s">
        <v>3</v>
      </c>
      <c r="G3" s="57"/>
      <c r="H3" s="58" t="s">
        <v>51</v>
      </c>
      <c r="I3" s="77" t="s">
        <v>68</v>
      </c>
      <c r="J3" s="78"/>
      <c r="K3" s="78"/>
      <c r="L3" s="78"/>
      <c r="M3" s="78"/>
      <c r="N3" s="79"/>
      <c r="P3" s="59"/>
      <c r="Q3" s="59"/>
      <c r="R3" s="60"/>
      <c r="S3" s="60"/>
      <c r="T3" s="60"/>
      <c r="U3" s="61"/>
      <c r="V3" s="61"/>
      <c r="W3" s="60"/>
      <c r="X3" s="60"/>
      <c r="Y3" s="62"/>
      <c r="Z3" s="63"/>
    </row>
    <row r="4" spans="2:30" ht="36.6" customHeight="1" x14ac:dyDescent="0.2">
      <c r="B4" s="84" t="s">
        <v>60</v>
      </c>
      <c r="C4" s="64" t="s">
        <v>48</v>
      </c>
      <c r="D4" s="70"/>
      <c r="E4" s="70" t="s">
        <v>67</v>
      </c>
      <c r="F4" s="70"/>
      <c r="G4" s="57"/>
      <c r="H4" s="65" t="s">
        <v>46</v>
      </c>
      <c r="I4" s="77" t="s">
        <v>70</v>
      </c>
      <c r="J4" s="78"/>
      <c r="K4" s="78"/>
      <c r="L4" s="78"/>
      <c r="M4" s="78"/>
      <c r="N4" s="79"/>
      <c r="P4" s="59"/>
      <c r="Q4" s="59"/>
      <c r="R4" s="60"/>
      <c r="S4" s="60"/>
      <c r="T4" s="60"/>
      <c r="U4" s="61"/>
      <c r="V4" s="61"/>
      <c r="W4" s="60"/>
      <c r="X4" s="60"/>
      <c r="Y4" s="62"/>
      <c r="Z4" s="63"/>
    </row>
    <row r="5" spans="2:30" ht="36.6" customHeight="1" x14ac:dyDescent="0.2">
      <c r="B5" s="85"/>
      <c r="C5" s="64" t="s">
        <v>49</v>
      </c>
      <c r="D5" s="70"/>
      <c r="E5" s="70" t="s">
        <v>67</v>
      </c>
      <c r="F5" s="70"/>
      <c r="G5" s="57"/>
      <c r="H5" s="65" t="s">
        <v>33</v>
      </c>
      <c r="I5" s="77" t="s">
        <v>71</v>
      </c>
      <c r="J5" s="78"/>
      <c r="K5" s="78"/>
      <c r="L5" s="78"/>
      <c r="M5" s="78"/>
      <c r="N5" s="79"/>
      <c r="P5" s="61">
        <v>2.1</v>
      </c>
      <c r="Q5" s="61"/>
      <c r="R5" s="60" t="e">
        <f>COUNTIF(#REF!,P5)</f>
        <v>#REF!</v>
      </c>
      <c r="S5" s="60" t="e">
        <f>COUNTIFS(#REF!,#REF!,#REF!,"AC")</f>
        <v>#REF!</v>
      </c>
      <c r="T5" s="60" t="e">
        <f>COUNTIFS(#REF!,#REF!,#REF!,"F")</f>
        <v>#REF!</v>
      </c>
      <c r="U5" s="59">
        <v>9.1</v>
      </c>
      <c r="V5" s="59"/>
      <c r="W5" s="60" t="e">
        <f>COUNTIF(#REF!,U5)</f>
        <v>#REF!</v>
      </c>
      <c r="X5" s="60" t="e">
        <f>COUNTIFS(#REF!,#REF!,#REF!,"AC")</f>
        <v>#REF!</v>
      </c>
      <c r="Y5" s="62" t="e">
        <f>COUNTIFS(#REF!,#REF!,#REF!,"F")</f>
        <v>#REF!</v>
      </c>
      <c r="Z5" s="63"/>
      <c r="AA5" s="48" t="s">
        <v>11</v>
      </c>
      <c r="AB5" s="48" t="s">
        <v>5</v>
      </c>
      <c r="AC5" s="48" t="s">
        <v>15</v>
      </c>
      <c r="AD5" s="49">
        <v>2.1</v>
      </c>
    </row>
    <row r="6" spans="2:30" ht="36.6" customHeight="1" x14ac:dyDescent="0.2">
      <c r="B6" s="85"/>
      <c r="C6" s="66" t="s">
        <v>53</v>
      </c>
      <c r="D6" s="70"/>
      <c r="E6" s="70" t="s">
        <v>67</v>
      </c>
      <c r="F6" s="70"/>
      <c r="G6" s="57"/>
      <c r="H6" s="65" t="s">
        <v>34</v>
      </c>
      <c r="I6" s="77" t="s">
        <v>72</v>
      </c>
      <c r="J6" s="78"/>
      <c r="K6" s="78"/>
      <c r="L6" s="78"/>
      <c r="M6" s="78"/>
      <c r="N6" s="79"/>
      <c r="P6" s="61"/>
      <c r="Q6" s="61"/>
      <c r="R6" s="60"/>
      <c r="S6" s="60"/>
      <c r="T6" s="60"/>
      <c r="U6" s="59"/>
      <c r="V6" s="59"/>
      <c r="W6" s="60"/>
      <c r="X6" s="60"/>
      <c r="Y6" s="62"/>
      <c r="Z6" s="63"/>
    </row>
    <row r="7" spans="2:30" ht="36.6" customHeight="1" x14ac:dyDescent="0.2">
      <c r="B7" s="85"/>
      <c r="C7" s="66" t="s">
        <v>50</v>
      </c>
      <c r="D7" s="70"/>
      <c r="E7" s="70" t="s">
        <v>67</v>
      </c>
      <c r="F7" s="70"/>
      <c r="G7" s="57"/>
      <c r="H7" s="58" t="s">
        <v>52</v>
      </c>
      <c r="I7" s="80">
        <v>43598</v>
      </c>
      <c r="J7" s="81"/>
      <c r="K7" s="81"/>
      <c r="L7" s="81"/>
      <c r="M7" s="81"/>
      <c r="N7" s="82"/>
      <c r="P7" s="61"/>
      <c r="Q7" s="61"/>
      <c r="R7" s="60"/>
      <c r="S7" s="60"/>
      <c r="T7" s="60"/>
      <c r="U7" s="59"/>
      <c r="V7" s="59"/>
      <c r="W7" s="60"/>
      <c r="X7" s="60"/>
      <c r="Y7" s="62"/>
      <c r="Z7" s="63"/>
    </row>
    <row r="8" spans="2:30" ht="36.6" customHeight="1" x14ac:dyDescent="0.2">
      <c r="B8" s="85"/>
      <c r="C8" s="64" t="s">
        <v>54</v>
      </c>
      <c r="D8" s="70"/>
      <c r="E8" s="70" t="s">
        <v>67</v>
      </c>
      <c r="F8" s="70"/>
      <c r="G8" s="57"/>
      <c r="H8" s="65" t="s">
        <v>35</v>
      </c>
      <c r="I8" s="77" t="s">
        <v>73</v>
      </c>
      <c r="J8" s="78"/>
      <c r="K8" s="78"/>
      <c r="L8" s="78"/>
      <c r="M8" s="78"/>
      <c r="N8" s="79"/>
      <c r="P8" s="59"/>
      <c r="Q8" s="59"/>
      <c r="R8" s="60"/>
      <c r="S8" s="60"/>
      <c r="T8" s="60"/>
      <c r="U8" s="61"/>
      <c r="V8" s="61"/>
      <c r="W8" s="60"/>
      <c r="X8" s="60"/>
      <c r="Y8" s="62"/>
      <c r="Z8" s="63"/>
    </row>
    <row r="9" spans="2:30" ht="36.6" customHeight="1" x14ac:dyDescent="0.2">
      <c r="B9" s="85"/>
      <c r="C9" s="64" t="s">
        <v>55</v>
      </c>
      <c r="D9" s="70" t="s">
        <v>67</v>
      </c>
      <c r="E9" s="70"/>
      <c r="F9" s="70"/>
      <c r="G9" s="57"/>
      <c r="H9" s="92" t="s">
        <v>30</v>
      </c>
      <c r="I9" s="94"/>
      <c r="J9" s="67" t="s">
        <v>31</v>
      </c>
      <c r="K9" s="67" t="s">
        <v>32</v>
      </c>
      <c r="L9" s="92" t="s">
        <v>63</v>
      </c>
      <c r="M9" s="93"/>
      <c r="N9" s="94"/>
      <c r="P9" s="59">
        <v>1.7</v>
      </c>
      <c r="Q9" s="59"/>
      <c r="R9" s="60" t="e">
        <f>COUNTIF(#REF!,P9)</f>
        <v>#REF!</v>
      </c>
      <c r="S9" s="60" t="e">
        <f>COUNTIFS(#REF!,#REF!,#REF!,"AC")</f>
        <v>#REF!</v>
      </c>
      <c r="T9" s="60" t="e">
        <f>COUNTIFS(#REF!,#REF!,#REF!,"F")</f>
        <v>#REF!</v>
      </c>
      <c r="U9" s="61">
        <v>8.6999999999999993</v>
      </c>
      <c r="V9" s="61"/>
      <c r="W9" s="60" t="e">
        <f>COUNTIF(#REF!,U9)</f>
        <v>#REF!</v>
      </c>
      <c r="X9" s="60" t="e">
        <f>COUNTIFS(#REF!,#REF!,#REF!,"AC")</f>
        <v>#REF!</v>
      </c>
      <c r="Y9" s="62" t="e">
        <f>COUNTIFS(#REF!,#REF!,#REF!,"F")</f>
        <v>#REF!</v>
      </c>
      <c r="Z9" s="63"/>
      <c r="AA9" s="48" t="s">
        <v>10</v>
      </c>
      <c r="AB9" s="48" t="s">
        <v>4</v>
      </c>
      <c r="AC9" s="48" t="s">
        <v>14</v>
      </c>
      <c r="AD9" s="49">
        <v>1.7</v>
      </c>
    </row>
    <row r="10" spans="2:30" ht="36.6" customHeight="1" x14ac:dyDescent="0.2">
      <c r="B10" s="85"/>
      <c r="C10" s="64" t="s">
        <v>56</v>
      </c>
      <c r="D10" s="70" t="s">
        <v>67</v>
      </c>
      <c r="E10" s="70"/>
      <c r="F10" s="70"/>
      <c r="G10" s="57"/>
      <c r="H10" s="75" t="s">
        <v>74</v>
      </c>
      <c r="I10" s="76"/>
      <c r="J10" s="71" t="s">
        <v>73</v>
      </c>
      <c r="K10" s="72">
        <v>43569</v>
      </c>
      <c r="L10" s="86" t="s">
        <v>69</v>
      </c>
      <c r="M10" s="87"/>
      <c r="N10" s="88"/>
      <c r="P10" s="61">
        <v>2.2000000000000002</v>
      </c>
      <c r="Q10" s="61"/>
      <c r="R10" s="60" t="e">
        <f>COUNTIF(#REF!,P10)</f>
        <v>#REF!</v>
      </c>
      <c r="S10" s="60" t="e">
        <f>COUNTIFS(#REF!,#REF!,#REF!,"AC")</f>
        <v>#REF!</v>
      </c>
      <c r="T10" s="60" t="e">
        <f>COUNTIFS(#REF!,#REF!,#REF!,"F")</f>
        <v>#REF!</v>
      </c>
      <c r="U10" s="59">
        <v>9.1999999999999993</v>
      </c>
      <c r="V10" s="59"/>
      <c r="W10" s="60" t="e">
        <f>COUNTIF(#REF!,U10)</f>
        <v>#REF!</v>
      </c>
      <c r="X10" s="60" t="e">
        <f>COUNTIFS(#REF!,#REF!,#REF!,"AC")</f>
        <v>#REF!</v>
      </c>
      <c r="Y10" s="62" t="e">
        <f>COUNTIFS(#REF!,#REF!,#REF!,"F")</f>
        <v>#REF!</v>
      </c>
      <c r="Z10" s="63"/>
      <c r="AA10" s="48" t="s">
        <v>12</v>
      </c>
      <c r="AB10" s="48" t="s">
        <v>6</v>
      </c>
      <c r="AC10" s="48" t="s">
        <v>16</v>
      </c>
      <c r="AD10" s="49">
        <v>2.2000000000000002</v>
      </c>
    </row>
    <row r="11" spans="2:30" ht="36.6" customHeight="1" x14ac:dyDescent="0.2">
      <c r="B11" s="85"/>
      <c r="C11" s="64" t="s">
        <v>57</v>
      </c>
      <c r="D11" s="70" t="s">
        <v>67</v>
      </c>
      <c r="E11" s="70"/>
      <c r="F11" s="70"/>
      <c r="G11" s="57"/>
      <c r="H11" s="75"/>
      <c r="I11" s="76"/>
      <c r="J11" s="71"/>
      <c r="K11" s="72"/>
      <c r="L11" s="86"/>
      <c r="M11" s="87"/>
      <c r="N11" s="88"/>
      <c r="P11" s="61">
        <v>2.2999999999999998</v>
      </c>
      <c r="Q11" s="61"/>
      <c r="R11" s="60" t="e">
        <f>COUNTIF(#REF!,P11)</f>
        <v>#REF!</v>
      </c>
      <c r="S11" s="60" t="e">
        <f>COUNTIFS(#REF!,#REF!,#REF!,"AC")</f>
        <v>#REF!</v>
      </c>
      <c r="T11" s="60" t="e">
        <f>COUNTIFS(#REF!,#REF!,#REF!,"F")</f>
        <v>#REF!</v>
      </c>
      <c r="U11" s="59">
        <v>9.3000000000000007</v>
      </c>
      <c r="V11" s="59"/>
      <c r="W11" s="60" t="e">
        <f>COUNTIF(#REF!,U11)</f>
        <v>#REF!</v>
      </c>
      <c r="X11" s="60" t="e">
        <f>COUNTIFS(#REF!,#REF!,#REF!,"AC")</f>
        <v>#REF!</v>
      </c>
      <c r="Y11" s="62" t="e">
        <f>COUNTIFS(#REF!,#REF!,#REF!,"F")</f>
        <v>#REF!</v>
      </c>
      <c r="Z11" s="63"/>
      <c r="AA11" s="48" t="s">
        <v>9</v>
      </c>
      <c r="AB11" s="48" t="s">
        <v>7</v>
      </c>
      <c r="AC11" s="48" t="s">
        <v>17</v>
      </c>
      <c r="AD11" s="49">
        <v>2.2999999999999998</v>
      </c>
    </row>
    <row r="12" spans="2:30" ht="36.6" customHeight="1" x14ac:dyDescent="0.2">
      <c r="B12" s="85"/>
      <c r="C12" s="64" t="s">
        <v>58</v>
      </c>
      <c r="D12" s="70" t="s">
        <v>67</v>
      </c>
      <c r="E12" s="70"/>
      <c r="F12" s="70"/>
      <c r="G12" s="57"/>
      <c r="H12" s="75"/>
      <c r="I12" s="76"/>
      <c r="J12" s="71"/>
      <c r="K12" s="72"/>
      <c r="L12" s="86"/>
      <c r="M12" s="87"/>
      <c r="N12" s="88"/>
      <c r="P12" s="61">
        <v>2.4</v>
      </c>
      <c r="Q12" s="61"/>
      <c r="R12" s="60" t="e">
        <f>COUNTIF(#REF!,P12)</f>
        <v>#REF!</v>
      </c>
      <c r="S12" s="60" t="e">
        <f>COUNTIFS(#REF!,#REF!,#REF!,"AC")</f>
        <v>#REF!</v>
      </c>
      <c r="T12" s="60" t="e">
        <f>COUNTIFS(#REF!,#REF!,#REF!,"F")</f>
        <v>#REF!</v>
      </c>
      <c r="U12" s="59">
        <v>9.4</v>
      </c>
      <c r="V12" s="59"/>
      <c r="W12" s="60" t="e">
        <f>COUNTIF(#REF!,U12)</f>
        <v>#REF!</v>
      </c>
      <c r="X12" s="60" t="e">
        <f>COUNTIFS(#REF!,#REF!,#REF!,"AC")</f>
        <v>#REF!</v>
      </c>
      <c r="Y12" s="62" t="e">
        <f>COUNTIFS(#REF!,#REF!,#REF!,"F")</f>
        <v>#REF!</v>
      </c>
      <c r="Z12" s="63"/>
      <c r="AA12" s="48" t="s">
        <v>13</v>
      </c>
      <c r="AB12" s="48" t="s">
        <v>8</v>
      </c>
      <c r="AC12" s="48" t="s">
        <v>18</v>
      </c>
      <c r="AD12" s="49">
        <v>2.4</v>
      </c>
    </row>
    <row r="13" spans="2:30" ht="36.6" customHeight="1" x14ac:dyDescent="0.2">
      <c r="B13" s="85"/>
      <c r="C13" s="64" t="s">
        <v>59</v>
      </c>
      <c r="D13" s="70"/>
      <c r="E13" s="70" t="s">
        <v>67</v>
      </c>
      <c r="F13" s="70"/>
      <c r="G13" s="57"/>
      <c r="H13" s="75"/>
      <c r="I13" s="76"/>
      <c r="J13" s="71"/>
      <c r="K13" s="72"/>
      <c r="L13" s="86"/>
      <c r="M13" s="87"/>
      <c r="N13" s="88"/>
      <c r="P13" s="61"/>
      <c r="Q13" s="61"/>
      <c r="R13" s="60"/>
      <c r="S13" s="60"/>
      <c r="T13" s="60"/>
      <c r="U13" s="59"/>
      <c r="V13" s="59"/>
      <c r="W13" s="60"/>
      <c r="X13" s="60"/>
      <c r="Y13" s="62"/>
      <c r="Z13" s="63"/>
    </row>
    <row r="14" spans="2:30" ht="10.5" customHeight="1" x14ac:dyDescent="0.2">
      <c r="B14" s="74" t="s">
        <v>37</v>
      </c>
      <c r="C14" s="74"/>
      <c r="D14" s="74"/>
      <c r="E14" s="74"/>
      <c r="F14" s="74"/>
      <c r="G14" s="57"/>
      <c r="H14" s="83" t="s">
        <v>37</v>
      </c>
      <c r="I14" s="83"/>
      <c r="J14" s="83"/>
      <c r="K14" s="83"/>
      <c r="L14" s="83"/>
      <c r="M14" s="83"/>
      <c r="N14" s="83"/>
    </row>
  </sheetData>
  <sheetProtection algorithmName="SHA-512" hashValue="Qusk8LtDN/ssdp5PUB7y1U9fw6XFC0qSeoKPEOeMF5h+i+Xc2643GM5Rc2p+zPVgEI/+2pB6XSzvasS4kPYw4w==" saltValue="ICNHbHWJXbuGLKdxI9GrvA==" spinCount="100000" sheet="1" objects="1" scenarios="1"/>
  <mergeCells count="21">
    <mergeCell ref="B14:F14"/>
    <mergeCell ref="H14:N14"/>
    <mergeCell ref="B4:B13"/>
    <mergeCell ref="L13:N13"/>
    <mergeCell ref="D2:F2"/>
    <mergeCell ref="L9:N9"/>
    <mergeCell ref="L11:N11"/>
    <mergeCell ref="L12:N12"/>
    <mergeCell ref="L10:N10"/>
    <mergeCell ref="H9:I9"/>
    <mergeCell ref="I1:K1"/>
    <mergeCell ref="H10:I10"/>
    <mergeCell ref="H11:I11"/>
    <mergeCell ref="H12:I12"/>
    <mergeCell ref="H13:I13"/>
    <mergeCell ref="I3:N3"/>
    <mergeCell ref="I4:N4"/>
    <mergeCell ref="I5:N5"/>
    <mergeCell ref="I6:N6"/>
    <mergeCell ref="I7:N7"/>
    <mergeCell ref="I8:N8"/>
  </mergeCells>
  <dataValidations count="4">
    <dataValidation type="list" allowBlank="1" showInputMessage="1" showErrorMessage="1" sqref="D4:F13" xr:uid="{E9A6F3BC-2A8A-4C46-9225-D860A79F8631}">
      <formula1>"X"</formula1>
    </dataValidation>
    <dataValidation type="date" allowBlank="1" showInputMessage="1" showErrorMessage="1" errorTitle="Fecha" error="Colocar la fecha acordada del levantamiento de las acciones correctivas_x000a_" sqref="K10:K13" xr:uid="{85159824-2C0F-41BC-896B-73A32E48DB5F}">
      <formula1>43466</formula1>
      <formula2>44196</formula2>
    </dataValidation>
    <dataValidation type="list" allowBlank="1" showInputMessage="1" showErrorMessage="1" sqref="L10:N13" xr:uid="{D419EA7E-3A10-4DEE-8561-DD88D1A4282A}">
      <formula1>"Abierto,Cerrado"</formula1>
    </dataValidation>
    <dataValidation type="date" allowBlank="1" showInputMessage="1" showErrorMessage="1" errorTitle="Fecha" error="Colocar la fecha de realización del VCC" sqref="I7:N7" xr:uid="{5A3F6A03-2440-4288-B30E-0B6344A9A3DF}">
      <formula1>43466</formula1>
      <formula2>44196</formula2>
    </dataValidation>
  </dataValidations>
  <printOptions horizontalCentered="1"/>
  <pageMargins left="0" right="0" top="0" bottom="0" header="0" footer="0.31496062992125984"/>
  <pageSetup paperSize="9" scale="87" fitToHeight="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392"/>
  <sheetViews>
    <sheetView workbookViewId="0">
      <selection activeCell="A6" sqref="A6"/>
    </sheetView>
  </sheetViews>
  <sheetFormatPr baseColWidth="10" defaultColWidth="12" defaultRowHeight="12.75" x14ac:dyDescent="0.2"/>
  <cols>
    <col min="1" max="1" width="13.83203125" style="1" customWidth="1"/>
    <col min="2" max="3" width="12" style="1"/>
    <col min="4" max="4" width="18.6640625" style="1" customWidth="1"/>
    <col min="5" max="5" width="23.6640625" style="1" customWidth="1"/>
    <col min="6" max="6" width="10.83203125" style="1" customWidth="1"/>
    <col min="7" max="7" width="10.33203125" style="1" customWidth="1"/>
    <col min="8" max="9" width="12.33203125" style="1" customWidth="1"/>
    <col min="10" max="10" width="13.33203125" style="1" customWidth="1"/>
    <col min="11" max="11" width="15.6640625" style="1" customWidth="1"/>
    <col min="12" max="12" width="12.33203125" style="1" customWidth="1"/>
    <col min="13" max="13" width="11.83203125" style="1" customWidth="1"/>
    <col min="14" max="14" width="13" style="1" customWidth="1"/>
    <col min="15" max="15" width="17.83203125" style="1" customWidth="1"/>
    <col min="16" max="16" width="39.33203125" style="1" customWidth="1"/>
    <col min="17" max="16384" width="12" style="1"/>
  </cols>
  <sheetData>
    <row r="1" spans="1:17" x14ac:dyDescent="0.2">
      <c r="A1" s="95" t="s">
        <v>38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</row>
    <row r="2" spans="1:17" x14ac:dyDescent="0.2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</row>
    <row r="3" spans="1:17" ht="21" customHeight="1" x14ac:dyDescent="0.2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</row>
    <row r="4" spans="1:17" ht="21" customHeight="1" x14ac:dyDescent="0.2">
      <c r="A4" s="2"/>
      <c r="B4" s="2"/>
      <c r="C4" s="2"/>
      <c r="D4" s="2"/>
      <c r="E4" s="2"/>
      <c r="F4" s="3">
        <f t="shared" ref="F4:O4" si="0">+SUM(F6:F1048576)</f>
        <v>0</v>
      </c>
      <c r="G4" s="3" t="e">
        <f t="shared" si="0"/>
        <v>#REF!</v>
      </c>
      <c r="H4" s="3" t="e">
        <f t="shared" si="0"/>
        <v>#REF!</v>
      </c>
      <c r="I4" s="3">
        <f t="shared" si="0"/>
        <v>0</v>
      </c>
      <c r="J4" s="3">
        <f t="shared" si="0"/>
        <v>0</v>
      </c>
      <c r="K4" s="3">
        <f t="shared" si="0"/>
        <v>0</v>
      </c>
      <c r="L4" s="3">
        <f t="shared" si="0"/>
        <v>0</v>
      </c>
      <c r="M4" s="3">
        <f t="shared" si="0"/>
        <v>0</v>
      </c>
      <c r="N4" s="3" t="e">
        <f t="shared" si="0"/>
        <v>#REF!</v>
      </c>
      <c r="O4" s="3" t="e">
        <f t="shared" si="0"/>
        <v>#REF!</v>
      </c>
      <c r="P4" s="2"/>
      <c r="Q4" s="2"/>
    </row>
    <row r="5" spans="1:17" ht="106.5" customHeight="1" x14ac:dyDescent="0.2">
      <c r="A5" s="21" t="s">
        <v>45</v>
      </c>
      <c r="B5" s="21" t="s">
        <v>39</v>
      </c>
      <c r="C5" s="21" t="s">
        <v>40</v>
      </c>
      <c r="D5" s="22" t="s">
        <v>41</v>
      </c>
      <c r="E5" s="21" t="s">
        <v>42</v>
      </c>
      <c r="F5" s="20" t="s">
        <v>20</v>
      </c>
      <c r="G5" s="20" t="s">
        <v>21</v>
      </c>
      <c r="H5" s="20" t="s">
        <v>22</v>
      </c>
      <c r="I5" s="20" t="s">
        <v>24</v>
      </c>
      <c r="J5" s="20" t="s">
        <v>23</v>
      </c>
      <c r="K5" s="20" t="s">
        <v>25</v>
      </c>
      <c r="L5" s="20" t="s">
        <v>26</v>
      </c>
      <c r="M5" s="20" t="s">
        <v>27</v>
      </c>
      <c r="N5" s="20" t="s">
        <v>28</v>
      </c>
      <c r="O5" s="20" t="s">
        <v>29</v>
      </c>
      <c r="P5" s="21" t="s">
        <v>43</v>
      </c>
      <c r="Q5" s="21" t="s">
        <v>44</v>
      </c>
    </row>
    <row r="6" spans="1:17" x14ac:dyDescent="0.2">
      <c r="A6" s="4" t="e">
        <f>+'9.FALLA DE TERRENO'!#REF!</f>
        <v>#REF!</v>
      </c>
      <c r="B6" s="5" t="e">
        <f>+'9.FALLA DE TERRENO'!K5:N5</f>
        <v>#VALUE!</v>
      </c>
      <c r="C6" s="6" t="e">
        <f>+'9.FALLA DE TERRENO'!K3:N3</f>
        <v>#VALUE!</v>
      </c>
      <c r="D6" s="6" t="e">
        <f>+'9.FALLA DE TERRENO'!K4:N4</f>
        <v>#VALUE!</v>
      </c>
      <c r="E6" s="6" t="e">
        <f>+'9.FALLA DE TERRENO'!#REF!</f>
        <v>#REF!</v>
      </c>
      <c r="F6" s="6" t="str">
        <f>+IF('9.FALLA DE TERRENO'!$D$4="x","si",IF('9.FALLA DE TERRENO'!$E$4="x","No",IF('9.FALLA DE TERRENO'!$F$4="x","NA")))</f>
        <v>No</v>
      </c>
      <c r="G6" s="6" t="e">
        <f>+IF('9.FALLA DE TERRENO'!#REF!="x","si",IF('9.FALLA DE TERRENO'!#REF!="x","No",IF('9.FALLA DE TERRENO'!#REF!="x","NA")))</f>
        <v>#REF!</v>
      </c>
      <c r="H6" s="6" t="e">
        <f>+IF('9.FALLA DE TERRENO'!#REF!="x","si",IF('9.FALLA DE TERRENO'!#REF!="x","No",IF('9.FALLA DE TERRENO'!#REF!="x","NA")))</f>
        <v>#REF!</v>
      </c>
      <c r="I6" s="6" t="str">
        <f>+IF('9.FALLA DE TERRENO'!$D$5="x","si",IF('9.FALLA DE TERRENO'!$E$5="x","No",IF('9.FALLA DE TERRENO'!$F$5="x","NA")))</f>
        <v>No</v>
      </c>
      <c r="J6" s="6" t="str">
        <f>+IF('9.FALLA DE TERRENO'!$D$10="x","si",IF('9.FALLA DE TERRENO'!$E$10="x","No",IF('9.FALLA DE TERRENO'!$F$10="x","NA")))</f>
        <v>si</v>
      </c>
      <c r="K6" s="6" t="str">
        <f>+IF('9.FALLA DE TERRENO'!$D$11="x","si",IF('9.FALLA DE TERRENO'!$E$11="x","No",IF('9.FALLA DE TERRENO'!$F$11="x","NA")))</f>
        <v>si</v>
      </c>
      <c r="L6" s="6" t="str">
        <f>+IF('9.FALLA DE TERRENO'!$D$12="x","si",IF('9.FALLA DE TERRENO'!$E$12="x","No",IF('9.FALLA DE TERRENO'!$F$12="x","NA")))</f>
        <v>si</v>
      </c>
      <c r="M6" s="6" t="str">
        <f>+IF('9.FALLA DE TERRENO'!$D$13="x","si",IF('9.FALLA DE TERRENO'!$E$13="x","No",IF('9.FALLA DE TERRENO'!$F$13="x","NA")))</f>
        <v>No</v>
      </c>
      <c r="N6" s="6" t="e">
        <f>+IF('9.FALLA DE TERRENO'!#REF!="x","si",IF('9.FALLA DE TERRENO'!#REF!="x","No",IF('9.FALLA DE TERRENO'!#REF!="x","NA")))</f>
        <v>#REF!</v>
      </c>
      <c r="O6" s="6" t="e">
        <f>+IF('9.FALLA DE TERRENO'!#REF!="x","si",IF('9.FALLA DE TERRENO'!#REF!="x","No",IF('9.FALLA DE TERRENO'!#REF!="x","NA")))</f>
        <v>#REF!</v>
      </c>
      <c r="P6" s="7"/>
      <c r="Q6" s="8"/>
    </row>
    <row r="7" spans="1:17" x14ac:dyDescent="0.2">
      <c r="A7" s="4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7"/>
      <c r="Q7" s="8"/>
    </row>
    <row r="8" spans="1:17" x14ac:dyDescent="0.2">
      <c r="A8" s="4"/>
      <c r="B8" s="5"/>
      <c r="C8" s="6"/>
      <c r="D8" s="6"/>
      <c r="E8" s="9"/>
      <c r="F8" s="7"/>
      <c r="G8" s="7"/>
      <c r="H8" s="7"/>
      <c r="I8" s="7"/>
      <c r="J8" s="7"/>
      <c r="K8" s="7"/>
      <c r="L8" s="7"/>
      <c r="M8" s="7"/>
      <c r="N8" s="7"/>
      <c r="O8" s="7"/>
      <c r="P8" s="10"/>
      <c r="Q8" s="11"/>
    </row>
    <row r="9" spans="1:17" x14ac:dyDescent="0.2">
      <c r="A9" s="4"/>
      <c r="B9" s="5"/>
      <c r="C9" s="6"/>
      <c r="D9" s="6"/>
      <c r="E9" s="6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8"/>
    </row>
    <row r="10" spans="1:17" x14ac:dyDescent="0.2">
      <c r="A10" s="4"/>
      <c r="B10" s="5"/>
      <c r="C10" s="6"/>
      <c r="D10" s="6"/>
      <c r="E10" s="6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8"/>
    </row>
    <row r="11" spans="1:17" x14ac:dyDescent="0.2">
      <c r="A11" s="4"/>
      <c r="B11" s="5"/>
      <c r="C11" s="12"/>
      <c r="D11" s="6"/>
      <c r="E11" s="6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8"/>
    </row>
    <row r="12" spans="1:17" x14ac:dyDescent="0.2">
      <c r="A12" s="4"/>
      <c r="B12" s="5"/>
      <c r="C12" s="13"/>
      <c r="D12" s="6"/>
      <c r="E12" s="6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8"/>
    </row>
    <row r="13" spans="1:17" x14ac:dyDescent="0.2">
      <c r="A13" s="4"/>
      <c r="B13" s="5"/>
      <c r="C13" s="6"/>
      <c r="D13" s="6"/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8"/>
    </row>
    <row r="14" spans="1:17" x14ac:dyDescent="0.2">
      <c r="A14" s="14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8"/>
    </row>
    <row r="15" spans="1:17" x14ac:dyDescent="0.2">
      <c r="A15" s="14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8"/>
    </row>
    <row r="16" spans="1:17" x14ac:dyDescent="0.2">
      <c r="A16" s="14"/>
      <c r="B16" s="1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8"/>
    </row>
    <row r="17" spans="1:17" x14ac:dyDescent="0.2">
      <c r="A17" s="8"/>
      <c r="B17" s="17"/>
      <c r="C17" s="18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8"/>
    </row>
    <row r="18" spans="1:17" x14ac:dyDescent="0.2">
      <c r="A18" s="14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8"/>
    </row>
    <row r="19" spans="1:17" x14ac:dyDescent="0.2">
      <c r="A19" s="19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</row>
    <row r="20" spans="1:17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</row>
    <row r="21" spans="1:17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</row>
    <row r="22" spans="1:17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</row>
    <row r="23" spans="1:17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</row>
    <row r="24" spans="1:17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x14ac:dyDescent="0.2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  <row r="39" spans="1:17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</row>
    <row r="40" spans="1:17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</row>
    <row r="41" spans="1:17" x14ac:dyDescent="0.2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</row>
    <row r="42" spans="1:17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</row>
    <row r="43" spans="1:17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</row>
    <row r="44" spans="1:17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</row>
    <row r="45" spans="1:17" x14ac:dyDescent="0.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</row>
    <row r="46" spans="1:17" x14ac:dyDescent="0.2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</row>
    <row r="47" spans="1:17" x14ac:dyDescent="0.2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</row>
    <row r="48" spans="1:17" x14ac:dyDescent="0.2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</row>
    <row r="49" spans="1:17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</row>
    <row r="50" spans="1:17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</row>
    <row r="51" spans="1:17" x14ac:dyDescent="0.2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</row>
    <row r="52" spans="1:17" x14ac:dyDescent="0.2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</row>
    <row r="53" spans="1:17" x14ac:dyDescent="0.2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17" x14ac:dyDescent="0.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</row>
    <row r="55" spans="1:17" x14ac:dyDescent="0.2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</row>
    <row r="56" spans="1:17" x14ac:dyDescent="0.2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</row>
    <row r="57" spans="1:17" x14ac:dyDescent="0.2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</row>
    <row r="58" spans="1:17" x14ac:dyDescent="0.2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</row>
    <row r="59" spans="1:17" x14ac:dyDescent="0.2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</row>
    <row r="60" spans="1:17" x14ac:dyDescent="0.2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</row>
    <row r="61" spans="1:17" x14ac:dyDescent="0.2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</row>
    <row r="62" spans="1:17" x14ac:dyDescent="0.2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</row>
    <row r="63" spans="1:17" x14ac:dyDescent="0.2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</row>
    <row r="64" spans="1:17" x14ac:dyDescent="0.2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</row>
    <row r="65" spans="1:17" x14ac:dyDescent="0.2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</row>
    <row r="66" spans="1:17" x14ac:dyDescent="0.2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</row>
    <row r="67" spans="1:17" x14ac:dyDescent="0.2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</row>
    <row r="68" spans="1:17" x14ac:dyDescent="0.2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</row>
    <row r="69" spans="1:17" x14ac:dyDescent="0.2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</row>
    <row r="70" spans="1:17" x14ac:dyDescent="0.2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</row>
    <row r="71" spans="1:17" x14ac:dyDescent="0.2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</row>
    <row r="72" spans="1:17" x14ac:dyDescent="0.2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</row>
    <row r="73" spans="1:17" x14ac:dyDescent="0.2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</row>
    <row r="74" spans="1:17" x14ac:dyDescent="0.2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</row>
    <row r="75" spans="1:17" x14ac:dyDescent="0.2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</row>
    <row r="76" spans="1:17" x14ac:dyDescent="0.2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</row>
    <row r="77" spans="1:17" x14ac:dyDescent="0.2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</row>
    <row r="78" spans="1:17" x14ac:dyDescent="0.2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</row>
    <row r="79" spans="1:17" x14ac:dyDescent="0.2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</row>
    <row r="80" spans="1:17" x14ac:dyDescent="0.2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</row>
    <row r="81" spans="1:17" x14ac:dyDescent="0.2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</row>
    <row r="82" spans="1:17" x14ac:dyDescent="0.2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</row>
    <row r="83" spans="1:17" x14ac:dyDescent="0.2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</row>
    <row r="84" spans="1:17" x14ac:dyDescent="0.2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</row>
    <row r="85" spans="1:17" x14ac:dyDescent="0.2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</row>
    <row r="86" spans="1:17" x14ac:dyDescent="0.2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</row>
    <row r="87" spans="1:17" x14ac:dyDescent="0.2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</row>
    <row r="88" spans="1:17" x14ac:dyDescent="0.2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</row>
    <row r="89" spans="1:17" x14ac:dyDescent="0.2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</row>
    <row r="90" spans="1:17" x14ac:dyDescent="0.2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</row>
    <row r="91" spans="1:17" x14ac:dyDescent="0.2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</row>
    <row r="92" spans="1:17" x14ac:dyDescent="0.2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</row>
    <row r="93" spans="1:17" x14ac:dyDescent="0.2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</row>
    <row r="94" spans="1:17" x14ac:dyDescent="0.2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</row>
    <row r="95" spans="1:17" x14ac:dyDescent="0.2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</row>
    <row r="96" spans="1:17" x14ac:dyDescent="0.2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</row>
    <row r="97" spans="1:17" x14ac:dyDescent="0.2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</row>
    <row r="98" spans="1:17" x14ac:dyDescent="0.2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</row>
    <row r="99" spans="1:17" x14ac:dyDescent="0.2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</row>
    <row r="100" spans="1:17" x14ac:dyDescent="0.2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</row>
    <row r="101" spans="1:17" x14ac:dyDescent="0.2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</row>
    <row r="102" spans="1:17" x14ac:dyDescent="0.2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</row>
    <row r="103" spans="1:17" x14ac:dyDescent="0.2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</row>
    <row r="104" spans="1:17" x14ac:dyDescent="0.2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</row>
    <row r="105" spans="1:17" x14ac:dyDescent="0.2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</row>
    <row r="106" spans="1:17" x14ac:dyDescent="0.2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</row>
    <row r="107" spans="1:17" x14ac:dyDescent="0.2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</row>
    <row r="108" spans="1:17" x14ac:dyDescent="0.2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</row>
    <row r="109" spans="1:17" x14ac:dyDescent="0.2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</row>
    <row r="110" spans="1:17" x14ac:dyDescent="0.2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</row>
    <row r="111" spans="1:17" x14ac:dyDescent="0.2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</row>
    <row r="112" spans="1:17" x14ac:dyDescent="0.2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</row>
    <row r="113" spans="1:17" x14ac:dyDescent="0.2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</row>
    <row r="114" spans="1:17" x14ac:dyDescent="0.2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</row>
    <row r="115" spans="1:17" x14ac:dyDescent="0.2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</row>
    <row r="116" spans="1:17" x14ac:dyDescent="0.2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</row>
    <row r="117" spans="1:17" x14ac:dyDescent="0.2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</row>
    <row r="118" spans="1:17" x14ac:dyDescent="0.2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</row>
    <row r="119" spans="1:17" x14ac:dyDescent="0.2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</row>
    <row r="120" spans="1:17" x14ac:dyDescent="0.2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</row>
    <row r="121" spans="1:17" x14ac:dyDescent="0.2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</row>
    <row r="122" spans="1:17" x14ac:dyDescent="0.2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</row>
    <row r="123" spans="1:17" x14ac:dyDescent="0.2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</row>
    <row r="124" spans="1:17" x14ac:dyDescent="0.2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</row>
    <row r="125" spans="1:17" x14ac:dyDescent="0.2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</row>
    <row r="126" spans="1:17" x14ac:dyDescent="0.2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</row>
    <row r="127" spans="1:17" x14ac:dyDescent="0.2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</row>
    <row r="128" spans="1:17" x14ac:dyDescent="0.2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</row>
    <row r="129" spans="1:17" x14ac:dyDescent="0.2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</row>
    <row r="130" spans="1:17" x14ac:dyDescent="0.2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</row>
    <row r="131" spans="1:17" x14ac:dyDescent="0.2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</row>
    <row r="132" spans="1:17" x14ac:dyDescent="0.2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</row>
    <row r="133" spans="1:17" x14ac:dyDescent="0.2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</row>
    <row r="134" spans="1:17" x14ac:dyDescent="0.2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</row>
    <row r="135" spans="1:17" x14ac:dyDescent="0.2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</row>
    <row r="136" spans="1:17" x14ac:dyDescent="0.2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</row>
    <row r="137" spans="1:17" x14ac:dyDescent="0.2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</row>
    <row r="138" spans="1:17" x14ac:dyDescent="0.2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</row>
    <row r="139" spans="1:17" x14ac:dyDescent="0.2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</row>
    <row r="140" spans="1:17" x14ac:dyDescent="0.2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</row>
    <row r="141" spans="1:17" x14ac:dyDescent="0.2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</row>
    <row r="142" spans="1:17" x14ac:dyDescent="0.2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</row>
    <row r="143" spans="1:17" x14ac:dyDescent="0.2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</row>
    <row r="144" spans="1:17" x14ac:dyDescent="0.2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</row>
    <row r="145" spans="1:17" x14ac:dyDescent="0.2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</row>
    <row r="146" spans="1:17" x14ac:dyDescent="0.2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</row>
    <row r="147" spans="1:17" x14ac:dyDescent="0.2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</row>
    <row r="148" spans="1:17" x14ac:dyDescent="0.2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</row>
    <row r="149" spans="1:17" x14ac:dyDescent="0.2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</row>
    <row r="150" spans="1:17" x14ac:dyDescent="0.2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</row>
    <row r="151" spans="1:17" x14ac:dyDescent="0.2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</row>
    <row r="152" spans="1:17" x14ac:dyDescent="0.2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</row>
    <row r="153" spans="1:17" x14ac:dyDescent="0.2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</row>
    <row r="154" spans="1:17" x14ac:dyDescent="0.2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</row>
    <row r="155" spans="1:17" x14ac:dyDescent="0.2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</row>
    <row r="156" spans="1:17" x14ac:dyDescent="0.2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</row>
    <row r="157" spans="1:17" x14ac:dyDescent="0.2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</row>
    <row r="158" spans="1:17" x14ac:dyDescent="0.2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</row>
    <row r="159" spans="1:17" x14ac:dyDescent="0.2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</row>
    <row r="160" spans="1:17" x14ac:dyDescent="0.2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</row>
    <row r="161" spans="1:17" x14ac:dyDescent="0.2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</row>
    <row r="162" spans="1:17" x14ac:dyDescent="0.2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</row>
    <row r="163" spans="1:17" x14ac:dyDescent="0.2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</row>
    <row r="164" spans="1:17" x14ac:dyDescent="0.2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</row>
    <row r="165" spans="1:17" x14ac:dyDescent="0.2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</row>
    <row r="166" spans="1:17" x14ac:dyDescent="0.2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</row>
    <row r="167" spans="1:17" x14ac:dyDescent="0.2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</row>
    <row r="168" spans="1:17" x14ac:dyDescent="0.2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</row>
    <row r="169" spans="1:17" x14ac:dyDescent="0.2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</row>
    <row r="170" spans="1:17" x14ac:dyDescent="0.2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</row>
    <row r="171" spans="1:17" x14ac:dyDescent="0.2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</row>
    <row r="172" spans="1:17" x14ac:dyDescent="0.2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</row>
    <row r="173" spans="1:17" x14ac:dyDescent="0.2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</row>
    <row r="174" spans="1:17" x14ac:dyDescent="0.2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</row>
    <row r="175" spans="1:17" x14ac:dyDescent="0.2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</row>
    <row r="176" spans="1:17" x14ac:dyDescent="0.2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</row>
    <row r="177" spans="1:17" x14ac:dyDescent="0.2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</row>
    <row r="178" spans="1:17" x14ac:dyDescent="0.2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</row>
    <row r="179" spans="1:17" x14ac:dyDescent="0.2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</row>
    <row r="180" spans="1:17" x14ac:dyDescent="0.2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</row>
    <row r="181" spans="1:17" x14ac:dyDescent="0.2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</row>
    <row r="182" spans="1:17" x14ac:dyDescent="0.2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</row>
    <row r="183" spans="1:17" x14ac:dyDescent="0.2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</row>
    <row r="184" spans="1:17" x14ac:dyDescent="0.2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</row>
    <row r="185" spans="1:17" x14ac:dyDescent="0.2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</row>
    <row r="186" spans="1:17" x14ac:dyDescent="0.2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</row>
    <row r="187" spans="1:17" x14ac:dyDescent="0.2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</row>
    <row r="188" spans="1:17" x14ac:dyDescent="0.2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</row>
    <row r="189" spans="1:17" x14ac:dyDescent="0.2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</row>
    <row r="190" spans="1:17" x14ac:dyDescent="0.2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</row>
    <row r="191" spans="1:17" x14ac:dyDescent="0.2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</row>
    <row r="192" spans="1:17" x14ac:dyDescent="0.2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</row>
    <row r="193" spans="1:17" x14ac:dyDescent="0.2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</row>
    <row r="194" spans="1:17" x14ac:dyDescent="0.2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</row>
    <row r="195" spans="1:17" x14ac:dyDescent="0.2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</row>
    <row r="196" spans="1:17" x14ac:dyDescent="0.2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</row>
    <row r="197" spans="1:17" x14ac:dyDescent="0.2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</row>
    <row r="198" spans="1:17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</row>
    <row r="199" spans="1:17" x14ac:dyDescent="0.2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</row>
    <row r="200" spans="1:17" x14ac:dyDescent="0.2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</row>
    <row r="201" spans="1:17" x14ac:dyDescent="0.2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</row>
    <row r="202" spans="1:17" x14ac:dyDescent="0.2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</row>
    <row r="203" spans="1:17" x14ac:dyDescent="0.2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</row>
    <row r="204" spans="1:17" x14ac:dyDescent="0.2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</row>
    <row r="205" spans="1:17" x14ac:dyDescent="0.2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</row>
    <row r="206" spans="1:17" x14ac:dyDescent="0.2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</row>
    <row r="207" spans="1:17" x14ac:dyDescent="0.2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</row>
    <row r="208" spans="1:17" x14ac:dyDescent="0.2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</row>
    <row r="209" spans="1:17" x14ac:dyDescent="0.2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</row>
    <row r="210" spans="1:17" x14ac:dyDescent="0.2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</row>
    <row r="211" spans="1:17" x14ac:dyDescent="0.2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</row>
    <row r="212" spans="1:17" x14ac:dyDescent="0.2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</row>
    <row r="213" spans="1:17" x14ac:dyDescent="0.2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</row>
    <row r="214" spans="1:17" x14ac:dyDescent="0.2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</row>
    <row r="215" spans="1:17" x14ac:dyDescent="0.2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</row>
    <row r="216" spans="1:17" x14ac:dyDescent="0.2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</row>
    <row r="217" spans="1:17" x14ac:dyDescent="0.2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</row>
    <row r="218" spans="1:17" x14ac:dyDescent="0.2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</row>
    <row r="219" spans="1:17" x14ac:dyDescent="0.2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</row>
    <row r="220" spans="1:17" x14ac:dyDescent="0.2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</row>
    <row r="221" spans="1:17" x14ac:dyDescent="0.2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</row>
    <row r="222" spans="1:17" x14ac:dyDescent="0.2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</row>
    <row r="223" spans="1:17" x14ac:dyDescent="0.2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</row>
    <row r="224" spans="1:17" x14ac:dyDescent="0.2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</row>
    <row r="225" spans="1:17" x14ac:dyDescent="0.2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</row>
    <row r="226" spans="1:17" x14ac:dyDescent="0.2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</row>
    <row r="227" spans="1:17" x14ac:dyDescent="0.2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</row>
    <row r="228" spans="1:17" x14ac:dyDescent="0.2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</row>
    <row r="229" spans="1:17" x14ac:dyDescent="0.2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</row>
    <row r="230" spans="1:17" x14ac:dyDescent="0.2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</row>
    <row r="231" spans="1:17" x14ac:dyDescent="0.2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</row>
    <row r="232" spans="1:17" x14ac:dyDescent="0.2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</row>
    <row r="233" spans="1:17" x14ac:dyDescent="0.2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</row>
    <row r="234" spans="1:17" x14ac:dyDescent="0.2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</row>
    <row r="235" spans="1:17" x14ac:dyDescent="0.2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</row>
    <row r="236" spans="1:17" x14ac:dyDescent="0.2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</row>
    <row r="237" spans="1:17" x14ac:dyDescent="0.2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</row>
    <row r="238" spans="1:17" x14ac:dyDescent="0.2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</row>
    <row r="239" spans="1:17" x14ac:dyDescent="0.2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</row>
    <row r="240" spans="1:17" x14ac:dyDescent="0.2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</row>
    <row r="241" spans="1:17" x14ac:dyDescent="0.2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</row>
    <row r="242" spans="1:17" x14ac:dyDescent="0.2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</row>
    <row r="243" spans="1:17" x14ac:dyDescent="0.2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</row>
    <row r="244" spans="1:17" x14ac:dyDescent="0.2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</row>
    <row r="245" spans="1:17" x14ac:dyDescent="0.2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</row>
    <row r="246" spans="1:17" x14ac:dyDescent="0.2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</row>
    <row r="247" spans="1:17" x14ac:dyDescent="0.2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</row>
    <row r="248" spans="1:17" x14ac:dyDescent="0.2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</row>
    <row r="249" spans="1:17" x14ac:dyDescent="0.2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</row>
    <row r="250" spans="1:17" x14ac:dyDescent="0.2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</row>
    <row r="251" spans="1:17" x14ac:dyDescent="0.2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</row>
    <row r="252" spans="1:17" x14ac:dyDescent="0.2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</row>
    <row r="253" spans="1:17" x14ac:dyDescent="0.2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</row>
    <row r="254" spans="1:17" x14ac:dyDescent="0.2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</row>
    <row r="255" spans="1:17" x14ac:dyDescent="0.2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</row>
    <row r="256" spans="1:17" x14ac:dyDescent="0.2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</row>
    <row r="257" spans="1:17" x14ac:dyDescent="0.2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</row>
    <row r="258" spans="1:17" x14ac:dyDescent="0.2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</row>
    <row r="259" spans="1:17" x14ac:dyDescent="0.2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</row>
    <row r="260" spans="1:17" x14ac:dyDescent="0.2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</row>
    <row r="261" spans="1:17" x14ac:dyDescent="0.2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</row>
    <row r="262" spans="1:17" x14ac:dyDescent="0.2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</row>
    <row r="263" spans="1:17" x14ac:dyDescent="0.2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</row>
    <row r="264" spans="1:17" x14ac:dyDescent="0.2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</row>
    <row r="265" spans="1:17" x14ac:dyDescent="0.2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</row>
    <row r="266" spans="1:17" x14ac:dyDescent="0.2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</row>
    <row r="267" spans="1:17" x14ac:dyDescent="0.2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</row>
    <row r="268" spans="1:17" x14ac:dyDescent="0.2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</row>
    <row r="269" spans="1:17" x14ac:dyDescent="0.2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</row>
    <row r="270" spans="1:17" x14ac:dyDescent="0.2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</row>
    <row r="271" spans="1:17" x14ac:dyDescent="0.2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</row>
    <row r="272" spans="1:17" x14ac:dyDescent="0.2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</row>
    <row r="273" spans="1:17" x14ac:dyDescent="0.2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</row>
    <row r="274" spans="1:17" x14ac:dyDescent="0.2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</row>
    <row r="275" spans="1:17" x14ac:dyDescent="0.2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</row>
    <row r="276" spans="1:17" x14ac:dyDescent="0.2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</row>
    <row r="277" spans="1:17" x14ac:dyDescent="0.2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</row>
    <row r="278" spans="1:17" x14ac:dyDescent="0.2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</row>
    <row r="279" spans="1:17" x14ac:dyDescent="0.2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</row>
    <row r="280" spans="1:17" x14ac:dyDescent="0.2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</row>
    <row r="281" spans="1:17" x14ac:dyDescent="0.2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</row>
    <row r="282" spans="1:17" x14ac:dyDescent="0.2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</row>
    <row r="283" spans="1:17" x14ac:dyDescent="0.2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</row>
    <row r="284" spans="1:17" x14ac:dyDescent="0.2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</row>
    <row r="285" spans="1:17" x14ac:dyDescent="0.2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</row>
    <row r="286" spans="1:17" x14ac:dyDescent="0.2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</row>
    <row r="287" spans="1:17" x14ac:dyDescent="0.2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</row>
    <row r="288" spans="1:17" x14ac:dyDescent="0.2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</row>
    <row r="289" spans="1:17" x14ac:dyDescent="0.2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</row>
    <row r="290" spans="1:17" x14ac:dyDescent="0.2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</row>
    <row r="291" spans="1:17" x14ac:dyDescent="0.2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</row>
    <row r="292" spans="1:17" x14ac:dyDescent="0.2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</row>
    <row r="293" spans="1:17" x14ac:dyDescent="0.2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</row>
    <row r="294" spans="1:17" x14ac:dyDescent="0.2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</row>
    <row r="295" spans="1:17" x14ac:dyDescent="0.2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</row>
    <row r="296" spans="1:17" x14ac:dyDescent="0.2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</row>
    <row r="297" spans="1:17" x14ac:dyDescent="0.2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</row>
    <row r="298" spans="1:17" x14ac:dyDescent="0.2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</row>
    <row r="299" spans="1:17" x14ac:dyDescent="0.2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</row>
    <row r="300" spans="1:17" x14ac:dyDescent="0.2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</row>
    <row r="301" spans="1:17" x14ac:dyDescent="0.2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</row>
    <row r="302" spans="1:17" x14ac:dyDescent="0.2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</row>
    <row r="303" spans="1:17" x14ac:dyDescent="0.2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</row>
    <row r="304" spans="1:17" x14ac:dyDescent="0.2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</row>
    <row r="305" spans="1:17" x14ac:dyDescent="0.2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</row>
    <row r="306" spans="1:17" x14ac:dyDescent="0.2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</row>
    <row r="307" spans="1:17" x14ac:dyDescent="0.2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</row>
    <row r="308" spans="1:17" x14ac:dyDescent="0.2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</row>
    <row r="309" spans="1:17" x14ac:dyDescent="0.2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</row>
    <row r="310" spans="1:17" x14ac:dyDescent="0.2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</row>
    <row r="311" spans="1:17" x14ac:dyDescent="0.2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</row>
    <row r="312" spans="1:17" x14ac:dyDescent="0.2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</row>
    <row r="313" spans="1:17" x14ac:dyDescent="0.2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</row>
    <row r="314" spans="1:17" x14ac:dyDescent="0.2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</row>
    <row r="315" spans="1:17" x14ac:dyDescent="0.2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</row>
    <row r="316" spans="1:17" x14ac:dyDescent="0.2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</row>
    <row r="317" spans="1:17" x14ac:dyDescent="0.2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</row>
    <row r="318" spans="1:17" x14ac:dyDescent="0.2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</row>
    <row r="319" spans="1:17" x14ac:dyDescent="0.2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</row>
    <row r="320" spans="1:17" x14ac:dyDescent="0.2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</row>
    <row r="321" spans="1:17" x14ac:dyDescent="0.2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</row>
    <row r="322" spans="1:17" x14ac:dyDescent="0.2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</row>
    <row r="323" spans="1:17" x14ac:dyDescent="0.2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</row>
    <row r="324" spans="1:17" x14ac:dyDescent="0.2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</row>
    <row r="325" spans="1:17" x14ac:dyDescent="0.2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</row>
    <row r="326" spans="1:17" x14ac:dyDescent="0.2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</row>
    <row r="327" spans="1:17" x14ac:dyDescent="0.2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</row>
    <row r="328" spans="1:17" x14ac:dyDescent="0.2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</row>
    <row r="329" spans="1:17" x14ac:dyDescent="0.2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</row>
    <row r="330" spans="1:17" x14ac:dyDescent="0.2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</row>
    <row r="331" spans="1:17" x14ac:dyDescent="0.2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</row>
    <row r="332" spans="1:17" x14ac:dyDescent="0.2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</row>
    <row r="333" spans="1:17" x14ac:dyDescent="0.2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</row>
    <row r="334" spans="1:17" x14ac:dyDescent="0.2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</row>
    <row r="335" spans="1:17" x14ac:dyDescent="0.2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</row>
    <row r="336" spans="1:17" x14ac:dyDescent="0.2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</row>
    <row r="337" spans="1:17" x14ac:dyDescent="0.2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</row>
    <row r="338" spans="1:17" x14ac:dyDescent="0.2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</row>
    <row r="339" spans="1:17" x14ac:dyDescent="0.2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</row>
    <row r="340" spans="1:17" x14ac:dyDescent="0.2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</row>
    <row r="341" spans="1:17" x14ac:dyDescent="0.2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</row>
    <row r="342" spans="1:17" x14ac:dyDescent="0.2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</row>
    <row r="343" spans="1:17" x14ac:dyDescent="0.2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</row>
    <row r="344" spans="1:17" x14ac:dyDescent="0.2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</row>
    <row r="345" spans="1:17" x14ac:dyDescent="0.2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</row>
    <row r="346" spans="1:17" x14ac:dyDescent="0.2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</row>
    <row r="347" spans="1:17" x14ac:dyDescent="0.2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</row>
    <row r="348" spans="1:17" x14ac:dyDescent="0.2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</row>
    <row r="349" spans="1:17" x14ac:dyDescent="0.2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</row>
    <row r="350" spans="1:17" x14ac:dyDescent="0.2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</row>
    <row r="351" spans="1:17" x14ac:dyDescent="0.2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</row>
    <row r="352" spans="1:17" x14ac:dyDescent="0.2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</row>
    <row r="353" spans="1:17" x14ac:dyDescent="0.2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</row>
    <row r="354" spans="1:17" x14ac:dyDescent="0.2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</row>
    <row r="355" spans="1:17" x14ac:dyDescent="0.2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</row>
    <row r="356" spans="1:17" x14ac:dyDescent="0.2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</row>
    <row r="357" spans="1:17" x14ac:dyDescent="0.2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</row>
    <row r="358" spans="1:17" x14ac:dyDescent="0.2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</row>
    <row r="359" spans="1:17" x14ac:dyDescent="0.2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</row>
    <row r="360" spans="1:17" x14ac:dyDescent="0.2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</row>
    <row r="361" spans="1:17" x14ac:dyDescent="0.2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</row>
    <row r="362" spans="1:17" x14ac:dyDescent="0.2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</row>
    <row r="363" spans="1:17" x14ac:dyDescent="0.2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</row>
    <row r="364" spans="1:17" x14ac:dyDescent="0.2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</row>
    <row r="365" spans="1:17" x14ac:dyDescent="0.2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</row>
    <row r="366" spans="1:17" x14ac:dyDescent="0.2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</row>
    <row r="367" spans="1:17" x14ac:dyDescent="0.2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</row>
    <row r="368" spans="1:17" x14ac:dyDescent="0.2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</row>
    <row r="369" spans="1:17" x14ac:dyDescent="0.2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</row>
    <row r="370" spans="1:17" x14ac:dyDescent="0.2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</row>
    <row r="371" spans="1:17" x14ac:dyDescent="0.2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</row>
    <row r="372" spans="1:17" x14ac:dyDescent="0.2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</row>
    <row r="373" spans="1:17" x14ac:dyDescent="0.2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</row>
    <row r="374" spans="1:17" x14ac:dyDescent="0.2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</row>
    <row r="375" spans="1:17" x14ac:dyDescent="0.2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</row>
    <row r="376" spans="1:17" x14ac:dyDescent="0.2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</row>
    <row r="377" spans="1:17" x14ac:dyDescent="0.2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</row>
    <row r="378" spans="1:17" x14ac:dyDescent="0.2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</row>
    <row r="379" spans="1:17" x14ac:dyDescent="0.2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</row>
    <row r="380" spans="1:17" x14ac:dyDescent="0.2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</row>
    <row r="381" spans="1:17" x14ac:dyDescent="0.2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</row>
    <row r="382" spans="1:17" x14ac:dyDescent="0.2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</row>
    <row r="383" spans="1:17" x14ac:dyDescent="0.2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</row>
    <row r="384" spans="1:17" x14ac:dyDescent="0.2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</row>
    <row r="385" spans="1:17" x14ac:dyDescent="0.2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</row>
    <row r="386" spans="1:17" x14ac:dyDescent="0.2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</row>
    <row r="387" spans="1:17" x14ac:dyDescent="0.2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</row>
    <row r="388" spans="1:17" x14ac:dyDescent="0.2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</row>
    <row r="389" spans="1:17" x14ac:dyDescent="0.2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</row>
    <row r="390" spans="1:17" x14ac:dyDescent="0.2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</row>
    <row r="391" spans="1:17" x14ac:dyDescent="0.2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</row>
    <row r="392" spans="1:17" x14ac:dyDescent="0.2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</row>
  </sheetData>
  <mergeCells count="1">
    <mergeCell ref="A1:Q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'Z:\01. SG S&amp;SO Marcobre\11. Controles operacionales\12. Programa de Liderazgo Visible\2. Cumplimiento\2018\Analisis Tendencias Jul - Set\Septiembre\[BD VCC.xlsx]data'!#REF!</xm:f>
          </x14:formula1>
          <xm:sqref>F8:O392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BDVC</vt:lpstr>
      <vt:lpstr>9.FALLA DE TERRENO</vt:lpstr>
      <vt:lpstr>BDVC9</vt:lpstr>
      <vt:lpstr>'9.FALLA DE TERRENO'!Área_de_impresión</vt:lpstr>
      <vt:lpstr>'9.FALLA DE TERRENO'!Títulos_a_imprimir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(Microsoft Word - Formato_Observaci\363n Controles Criticos_v02)</dc:title>
  <dc:creator>kcarpiod</dc:creator>
  <cp:lastModifiedBy>Edy Villasante Huanacune</cp:lastModifiedBy>
  <cp:lastPrinted>2018-07-20T01:51:54Z</cp:lastPrinted>
  <dcterms:created xsi:type="dcterms:W3CDTF">2016-11-11T18:35:47Z</dcterms:created>
  <dcterms:modified xsi:type="dcterms:W3CDTF">2019-05-22T16:32:18Z</dcterms:modified>
</cp:coreProperties>
</file>