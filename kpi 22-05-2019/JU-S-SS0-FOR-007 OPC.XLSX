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pi\kpi 22-05-2019\"/>
    </mc:Choice>
  </mc:AlternateContent>
  <xr:revisionPtr revIDLastSave="0" documentId="13_ncr:1_{18287893-6C61-4284-A2B5-34FB25FF966E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PC" sheetId="1" r:id="rId1"/>
    <sheet name="BD" sheetId="3" r:id="rId2"/>
  </sheets>
  <definedNames>
    <definedName name="_xlnm.Print_Area" localSheetId="0">OPC!$A$1:$W$46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4" i="3" l="1"/>
  <c r="AO5" i="3"/>
  <c r="AO3" i="3"/>
  <c r="B3" i="3"/>
  <c r="AM4" i="3" l="1"/>
  <c r="AN4" i="3"/>
  <c r="AM5" i="3"/>
  <c r="AN5" i="3"/>
  <c r="AN3" i="3"/>
  <c r="AM3" i="3"/>
  <c r="F3" i="3"/>
  <c r="E3" i="3"/>
  <c r="D3" i="3"/>
  <c r="C3" i="3"/>
  <c r="A3" i="3"/>
  <c r="Y18" i="1" l="1"/>
  <c r="R3" i="3" s="1"/>
  <c r="Y19" i="1"/>
  <c r="S3" i="3" s="1"/>
  <c r="Y20" i="1"/>
  <c r="T3" i="3" s="1"/>
  <c r="Y21" i="1"/>
  <c r="U3" i="3" s="1"/>
  <c r="Y23" i="1"/>
  <c r="V3" i="3" s="1"/>
  <c r="Y24" i="1"/>
  <c r="W3" i="3" s="1"/>
  <c r="Y25" i="1"/>
  <c r="X3" i="3" s="1"/>
  <c r="Y26" i="1"/>
  <c r="Y3" i="3" s="1"/>
  <c r="Y27" i="1"/>
  <c r="Z3" i="3" s="1"/>
  <c r="Y28" i="1"/>
  <c r="AA3" i="3" s="1"/>
  <c r="Y29" i="1"/>
  <c r="AB3" i="3" s="1"/>
  <c r="Y30" i="1"/>
  <c r="AC3" i="3" s="1"/>
  <c r="Y32" i="1"/>
  <c r="AD3" i="3" s="1"/>
  <c r="Y33" i="1"/>
  <c r="AE3" i="3" s="1"/>
  <c r="Y34" i="1"/>
  <c r="AF3" i="3" s="1"/>
  <c r="Y35" i="1"/>
  <c r="AG3" i="3" s="1"/>
  <c r="Y36" i="1"/>
  <c r="AH3" i="3" s="1"/>
  <c r="Y38" i="1"/>
  <c r="AI3" i="3" s="1"/>
  <c r="Y39" i="1"/>
  <c r="AJ3" i="3" s="1"/>
  <c r="Y40" i="1"/>
  <c r="AK3" i="3" s="1"/>
  <c r="Y41" i="1"/>
  <c r="AL3" i="3" s="1"/>
  <c r="Y8" i="1"/>
  <c r="H3" i="3" s="1"/>
  <c r="Y9" i="1"/>
  <c r="I3" i="3" s="1"/>
  <c r="Y10" i="1"/>
  <c r="J3" i="3" s="1"/>
  <c r="Y11" i="1"/>
  <c r="K3" i="3" s="1"/>
  <c r="Y12" i="1"/>
  <c r="L3" i="3" s="1"/>
  <c r="Y13" i="1"/>
  <c r="M3" i="3" s="1"/>
  <c r="Y14" i="1"/>
  <c r="N3" i="3" s="1"/>
  <c r="Y15" i="1"/>
  <c r="O3" i="3" s="1"/>
  <c r="Y16" i="1"/>
  <c r="P3" i="3" s="1"/>
  <c r="Y17" i="1"/>
  <c r="Q3" i="3" s="1"/>
  <c r="Y7" i="1"/>
  <c r="G3" i="3" s="1"/>
</calcChain>
</file>

<file path=xl/sharedStrings.xml><?xml version="1.0" encoding="utf-8"?>
<sst xmlns="http://schemas.openxmlformats.org/spreadsheetml/2006/main" count="117" uniqueCount="68">
  <si>
    <t>Nombre de Observador:</t>
  </si>
  <si>
    <t xml:space="preserve">Fecha: </t>
  </si>
  <si>
    <t>Actividad/Tarea observada:</t>
  </si>
  <si>
    <t xml:space="preserve">Empresa: </t>
  </si>
  <si>
    <t>Area:</t>
  </si>
  <si>
    <t>Disciplina:</t>
  </si>
  <si>
    <t>S</t>
  </si>
  <si>
    <t>R</t>
  </si>
  <si>
    <t>Mantiene postura adecuada al realizar su trabajo evitando causarse alguna lesión, lumbago , esguince.</t>
  </si>
  <si>
    <t>Mantiene el orden y la limpieza en su área de trabajo.</t>
  </si>
  <si>
    <t>Posiciona y asegura la escalera con una inclinación de 4 a 1, sobrepasando el punto de apoyo en mínimo 1m.</t>
  </si>
  <si>
    <t>Respeta la señalización (barreras, cintas de seguridad, área restringida).</t>
  </si>
  <si>
    <t>Utiliza los 3 puntos de apoyo al subir o bajar escaleras.</t>
  </si>
  <si>
    <t>Delimita el área de trabajo con cinta roja o amarilla.</t>
  </si>
  <si>
    <t>Coloca de manera visible la hoja MSDS, en su área de trabajo.</t>
  </si>
  <si>
    <t>Rotula los envases de productos químicos con sus respectivos sticker y rombo NFPA.</t>
  </si>
  <si>
    <t>Esta correctamente segregado la interacción entre hombre- máquina y máquina-máquina</t>
  </si>
  <si>
    <t>NA</t>
  </si>
  <si>
    <t>Utiliza barbiquejo.</t>
  </si>
  <si>
    <t>Utiliza protección de ojos  (lentes, careta facial y/o lentes google).</t>
  </si>
  <si>
    <t>Utiliza lentes claros en recintos cerrados u oscuros.</t>
  </si>
  <si>
    <t>Utiliza protección de manos (guantes de seguridad de acuerdo  a la tarea a realizar)</t>
  </si>
  <si>
    <t>Utiliza protección respiratoria adecuada, si la tarea lo requiere (filtros limpios).</t>
  </si>
  <si>
    <t>Utiliza protección auditiva, cuando es necesario.</t>
  </si>
  <si>
    <t>Utiliza protección total del cuerpo (escarpines, metatarcianos, mandiles de cuero, tyvek, rodillera, etc).</t>
  </si>
  <si>
    <t>Utiliza protector solar</t>
  </si>
  <si>
    <t>Evita el uso de herramientas hechizas.</t>
  </si>
  <si>
    <t>Verifica que las herramientas de poder están bloqueadas (martillo percutor, torna, esmeril, cierra circular, etc), activando hombre muerto.</t>
  </si>
  <si>
    <t>Verifica que los equipos esten con guardas de protección y en buen estado.</t>
  </si>
  <si>
    <t>Durante el lanzado de concreto una persona direcciona la manguera de la bomba y usan una cuerda para asegurar una posible salida de aire.</t>
  </si>
  <si>
    <t>Identifica las varillas de acero sobresalientes y coloca los rebar caps (acero verticales) y capuchones (acero horizontales).</t>
  </si>
  <si>
    <t>1. GENERALES</t>
  </si>
  <si>
    <t>2. EQUIPO DE PROTECCION PERSONAL (EPP)</t>
  </si>
  <si>
    <t>3. HERRAMIENTAS MANUALES Y DE PODER</t>
  </si>
  <si>
    <t>4. TRABAJOS CIVILES</t>
  </si>
  <si>
    <t>ACCIONES CORRECTIVAS</t>
  </si>
  <si>
    <t>FECHA</t>
  </si>
  <si>
    <t>MEDIDA CORRECTIVA</t>
  </si>
  <si>
    <t>RESPONSABLE</t>
  </si>
  <si>
    <t>OBSERVACION PREVENTIVA DE COMPORTAMIENTOS
OPC</t>
  </si>
  <si>
    <t>CODIGO: JU-S-SSO-FOR-007</t>
  </si>
  <si>
    <t>Nombre de Observador</t>
  </si>
  <si>
    <t>Fecha</t>
  </si>
  <si>
    <t>Actividad/Tarea observada</t>
  </si>
  <si>
    <t>Area</t>
  </si>
  <si>
    <t>Disciplina</t>
  </si>
  <si>
    <t>Empresa</t>
  </si>
  <si>
    <t>X</t>
  </si>
  <si>
    <t>Transita por accesos seguros en su área de trabajo.</t>
  </si>
  <si>
    <t>Se ubica de manera que evita ser golpeada o entrar en contacto con algun equipo, herramienta o algo que pudiera causarle lesión en caso se suelte, caiga o resbale.</t>
  </si>
  <si>
    <t>Asegura que este distanciado a puntos de atrapamiento de su cuerpo o partes de este.</t>
  </si>
  <si>
    <t>Apila materiales según el procedimiento (1.20m de altura y del más grande al más pequeño).</t>
  </si>
  <si>
    <t>Trasladan materiales de manera adecuada según longitud y peso (2 o 3 personas), llevándolas en el mismo hombro.</t>
  </si>
  <si>
    <t>Evita usar el celular durante las tareas, en el desplazamiento o durante la conducción.</t>
  </si>
  <si>
    <t>Utiliza la herramienta adecuada para el trabajo que realiza y de la manera correcta.</t>
  </si>
  <si>
    <t>Utiliza la herramienta o equipo con la inspección y cinta correspondiente  (incluye elementos de izaje).</t>
  </si>
  <si>
    <t>Usa espárragos para el traslado de los paneles metálicos.</t>
  </si>
  <si>
    <t>Hace uso de las tricapas para caminar sobre las mallas de acero y las asegura una con otra, con alambre.</t>
  </si>
  <si>
    <t>1.10</t>
  </si>
  <si>
    <t>FECHA: 27/01/19</t>
  </si>
  <si>
    <t>VERSION: 4</t>
  </si>
  <si>
    <t>Edy Villasante</t>
  </si>
  <si>
    <t>CCICSK</t>
  </si>
  <si>
    <t>Electricidad</t>
  </si>
  <si>
    <t>Agustin Matilla</t>
  </si>
  <si>
    <t>Se informo al responsable y se tomo la media correctivas</t>
  </si>
  <si>
    <t>Instalacion de Malla a tierra</t>
  </si>
  <si>
    <t>Chancadora primaria de sulfuros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</si>
</sst>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2" fontId="1" fillId="2" borderId="3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/>
      <protection hidden="1"/>
    </xf>
    <xf numFmtId="0" fontId="1" fillId="2" borderId="4" xfId="0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3" borderId="11" xfId="0" applyFont="1" applyFill="1" applyBorder="1" applyAlignment="1" applyProtection="1">
      <alignment horizontal="center" vertical="center" wrapText="1"/>
      <protection hidden="1"/>
    </xf>
    <xf numFmtId="0" fontId="5" fillId="4" borderId="11" xfId="0" applyFont="1" applyFill="1" applyBorder="1" applyAlignment="1" applyProtection="1">
      <alignment horizontal="center" vertical="center" wrapText="1"/>
      <protection hidden="1"/>
    </xf>
    <xf numFmtId="0" fontId="5" fillId="5" borderId="12" xfId="0" applyFont="1" applyFill="1" applyBorder="1" applyAlignment="1" applyProtection="1">
      <alignment horizontal="center" vertical="center" wrapText="1"/>
      <protection hidden="1"/>
    </xf>
    <xf numFmtId="49" fontId="3" fillId="0" borderId="6" xfId="0" applyNumberFormat="1" applyFont="1" applyBorder="1" applyAlignment="1" applyProtection="1">
      <alignment horizontal="center" vertical="center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5" fillId="5" borderId="7" xfId="0" applyFont="1" applyFill="1" applyBorder="1" applyAlignment="1" applyProtection="1">
      <alignment horizontal="center" vertical="center" wrapText="1"/>
      <protection hidden="1"/>
    </xf>
    <xf numFmtId="49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left" wrapText="1"/>
      <protection hidden="1"/>
    </xf>
    <xf numFmtId="0" fontId="6" fillId="0" borderId="4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wrapText="1"/>
      <protection hidden="1"/>
    </xf>
    <xf numFmtId="0" fontId="4" fillId="2" borderId="11" xfId="0" applyFont="1" applyFill="1" applyBorder="1" applyAlignment="1" applyProtection="1">
      <alignment horizontal="center" wrapText="1"/>
      <protection hidden="1"/>
    </xf>
    <xf numFmtId="0" fontId="4" fillId="0" borderId="4" xfId="0" applyFont="1" applyBorder="1" applyAlignment="1" applyProtection="1">
      <alignment horizontal="right"/>
      <protection hidden="1"/>
    </xf>
    <xf numFmtId="0" fontId="4" fillId="0" borderId="5" xfId="0" applyFont="1" applyBorder="1" applyAlignment="1" applyProtection="1">
      <alignment horizontal="right"/>
      <protection hidden="1"/>
    </xf>
    <xf numFmtId="0" fontId="4" fillId="0" borderId="9" xfId="0" applyFont="1" applyBorder="1" applyAlignment="1" applyProtection="1">
      <alignment horizontal="right"/>
      <protection hidden="1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  <xf numFmtId="0" fontId="4" fillId="2" borderId="6" xfId="0" applyFont="1" applyFill="1" applyBorder="1" applyAlignment="1" applyProtection="1">
      <alignment horizontal="center" wrapText="1"/>
      <protection hidden="1"/>
    </xf>
    <xf numFmtId="0" fontId="4" fillId="2" borderId="3" xfId="0" applyFont="1" applyFill="1" applyBorder="1" applyAlignment="1" applyProtection="1">
      <alignment horizontal="center" wrapText="1"/>
      <protection hidden="1"/>
    </xf>
    <xf numFmtId="0" fontId="0" fillId="0" borderId="8" xfId="0" applyFont="1" applyBorder="1" applyAlignment="1" applyProtection="1">
      <alignment horizontal="center"/>
      <protection locked="0"/>
    </xf>
    <xf numFmtId="0" fontId="0" fillId="0" borderId="5" xfId="0" applyFont="1" applyBorder="1" applyAlignment="1" applyProtection="1">
      <alignment horizontal="center"/>
      <protection locked="0"/>
    </xf>
    <xf numFmtId="0" fontId="0" fillId="0" borderId="9" xfId="0" applyFont="1" applyBorder="1" applyAlignment="1" applyProtection="1">
      <alignment horizontal="center"/>
      <protection locked="0"/>
    </xf>
    <xf numFmtId="0" fontId="0" fillId="0" borderId="4" xfId="0" applyFont="1" applyBorder="1" applyAlignment="1" applyProtection="1">
      <alignment horizontal="center"/>
      <protection locked="0"/>
    </xf>
    <xf numFmtId="14" fontId="0" fillId="0" borderId="4" xfId="0" applyNumberFormat="1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5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4" fillId="0" borderId="4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locked="0"/>
    </xf>
    <xf numFmtId="0" fontId="4" fillId="0" borderId="4" xfId="0" applyFont="1" applyFill="1" applyBorder="1" applyAlignment="1" applyProtection="1">
      <alignment horizontal="right"/>
      <protection hidden="1"/>
    </xf>
    <xf numFmtId="0" fontId="4" fillId="0" borderId="9" xfId="0" applyFont="1" applyFill="1" applyBorder="1" applyAlignment="1" applyProtection="1">
      <alignment horizontal="right"/>
      <protection hidden="1"/>
    </xf>
    <xf numFmtId="0" fontId="3" fillId="0" borderId="4" xfId="0" applyFont="1" applyFill="1" applyBorder="1" applyAlignment="1" applyProtection="1">
      <alignment horizontal="center"/>
      <protection locked="0"/>
    </xf>
    <xf numFmtId="0" fontId="3" fillId="0" borderId="5" xfId="0" applyFont="1" applyFill="1" applyBorder="1" applyAlignment="1" applyProtection="1">
      <alignment horizontal="center"/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37988</xdr:colOff>
      <xdr:row>0</xdr:row>
      <xdr:rowOff>206097</xdr:rowOff>
    </xdr:from>
    <xdr:to>
      <xdr:col>3</xdr:col>
      <xdr:colOff>270583</xdr:colOff>
      <xdr:row>0</xdr:row>
      <xdr:rowOff>534736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B5F74E-3CD4-46A8-8910-BFAC3396D9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8866" b="31397"/>
        <a:stretch/>
      </xdr:blipFill>
      <xdr:spPr bwMode="auto">
        <a:xfrm>
          <a:off x="37988" y="206097"/>
          <a:ext cx="1357770" cy="3286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334210</xdr:colOff>
      <xdr:row>0</xdr:row>
      <xdr:rowOff>22280</xdr:rowOff>
    </xdr:from>
    <xdr:to>
      <xdr:col>22</xdr:col>
      <xdr:colOff>62831</xdr:colOff>
      <xdr:row>0</xdr:row>
      <xdr:rowOff>857806</xdr:rowOff>
    </xdr:to>
    <xdr:pic>
      <xdr:nvPicPr>
        <xdr:cNvPr id="4" name="Imagen 3" descr="C:\Users\srimachic\Downloads\LOGO.PNG">
          <a:extLst>
            <a:ext uri="{FF2B5EF4-FFF2-40B4-BE49-F238E27FC236}">
              <a16:creationId xmlns:a16="http://schemas.microsoft.com/office/drawing/2014/main" id="{8BB84294-2A9C-4231-A9E9-F46F3F8F9C9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1315" y="22280"/>
          <a:ext cx="686691" cy="8355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showGridLines="0" tabSelected="1" view="pageBreakPreview" zoomScale="114" zoomScaleNormal="145" workbookViewId="0">
      <selection activeCell="B12" sqref="B12:T12"/>
    </sheetView>
  </sheetViews>
  <sheetFormatPr baseColWidth="10" defaultColWidth="0" defaultRowHeight="15" zeroHeight="1" x14ac:dyDescent="0.25"/>
  <cols>
    <col min="1" max="1" width="6.5703125" style="14" customWidth="1"/>
    <col min="2" max="11" width="4.85546875" style="1" customWidth="1"/>
    <col min="12" max="12" width="5.42578125" style="1" customWidth="1"/>
    <col min="13" max="20" width="4.85546875" style="1" customWidth="1"/>
    <col min="21" max="23" width="4.42578125" style="15" customWidth="1"/>
    <col min="24" max="24" width="5.85546875" style="1" hidden="1" customWidth="1"/>
    <col min="25" max="25" width="3.28515625" style="1" hidden="1" customWidth="1"/>
    <col min="26" max="27" width="4.85546875" style="1" hidden="1" customWidth="1"/>
    <col min="28" max="16384" width="10.85546875" style="1" hidden="1"/>
  </cols>
  <sheetData>
    <row r="1" spans="1:25" ht="68.45" customHeight="1" x14ac:dyDescent="0.25">
      <c r="A1" s="22"/>
      <c r="B1" s="23"/>
      <c r="C1" s="23"/>
      <c r="D1" s="24"/>
      <c r="E1" s="18" t="s">
        <v>39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  <c r="U1" s="20"/>
      <c r="V1" s="20"/>
      <c r="W1" s="21"/>
      <c r="Y1" s="1" t="s">
        <v>47</v>
      </c>
    </row>
    <row r="2" spans="1:25" ht="15.6" customHeight="1" x14ac:dyDescent="0.25">
      <c r="A2" s="26" t="s">
        <v>40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N2" s="29" t="s">
        <v>59</v>
      </c>
      <c r="O2" s="29"/>
      <c r="P2" s="29"/>
      <c r="Q2" s="29"/>
      <c r="R2" s="29"/>
      <c r="S2" s="29" t="s">
        <v>60</v>
      </c>
      <c r="T2" s="29"/>
      <c r="U2" s="29"/>
      <c r="V2" s="29"/>
      <c r="W2" s="29"/>
    </row>
    <row r="3" spans="1:25" x14ac:dyDescent="0.25">
      <c r="A3" s="32" t="s">
        <v>0</v>
      </c>
      <c r="B3" s="33"/>
      <c r="C3" s="33"/>
      <c r="D3" s="33"/>
      <c r="E3" s="34"/>
      <c r="F3" s="35" t="s">
        <v>61</v>
      </c>
      <c r="G3" s="36"/>
      <c r="H3" s="36"/>
      <c r="I3" s="36"/>
      <c r="J3" s="36"/>
      <c r="K3" s="36"/>
      <c r="L3" s="36"/>
      <c r="M3" s="36"/>
      <c r="N3" s="36"/>
      <c r="O3" s="37"/>
      <c r="P3" s="32" t="s">
        <v>1</v>
      </c>
      <c r="Q3" s="34"/>
      <c r="R3" s="38">
        <v>43599</v>
      </c>
      <c r="S3" s="36"/>
      <c r="T3" s="36"/>
      <c r="U3" s="36"/>
      <c r="V3" s="36"/>
      <c r="W3" s="37"/>
    </row>
    <row r="4" spans="1:25" x14ac:dyDescent="0.25">
      <c r="A4" s="32" t="s">
        <v>2</v>
      </c>
      <c r="B4" s="33"/>
      <c r="C4" s="33"/>
      <c r="D4" s="33"/>
      <c r="E4" s="34"/>
      <c r="F4" s="35" t="s">
        <v>66</v>
      </c>
      <c r="G4" s="36"/>
      <c r="H4" s="36"/>
      <c r="I4" s="36"/>
      <c r="J4" s="36"/>
      <c r="K4" s="36"/>
      <c r="L4" s="36"/>
      <c r="M4" s="36"/>
      <c r="N4" s="36"/>
      <c r="O4" s="37"/>
      <c r="P4" s="32" t="s">
        <v>3</v>
      </c>
      <c r="Q4" s="34"/>
      <c r="R4" s="35" t="s">
        <v>62</v>
      </c>
      <c r="S4" s="36"/>
      <c r="T4" s="36"/>
      <c r="U4" s="36"/>
      <c r="V4" s="36"/>
      <c r="W4" s="37"/>
    </row>
    <row r="5" spans="1:25" x14ac:dyDescent="0.25">
      <c r="A5" s="53" t="s">
        <v>4</v>
      </c>
      <c r="B5" s="54"/>
      <c r="C5" s="55" t="s">
        <v>67</v>
      </c>
      <c r="D5" s="56"/>
      <c r="E5" s="56"/>
      <c r="F5" s="56"/>
      <c r="G5" s="56"/>
      <c r="H5" s="56"/>
      <c r="I5" s="56"/>
      <c r="J5" s="56"/>
      <c r="K5" s="57"/>
      <c r="L5" s="53" t="s">
        <v>5</v>
      </c>
      <c r="M5" s="54"/>
      <c r="N5" s="55" t="s">
        <v>63</v>
      </c>
      <c r="O5" s="56"/>
      <c r="P5" s="56"/>
      <c r="Q5" s="56"/>
      <c r="R5" s="56"/>
      <c r="S5" s="56"/>
      <c r="T5" s="56"/>
      <c r="U5" s="56"/>
      <c r="V5" s="56"/>
      <c r="W5" s="57"/>
    </row>
    <row r="6" spans="1:25" x14ac:dyDescent="0.25">
      <c r="A6" s="30" t="s">
        <v>31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7" t="s">
        <v>6</v>
      </c>
      <c r="V6" s="8" t="s">
        <v>7</v>
      </c>
      <c r="W6" s="9" t="s">
        <v>17</v>
      </c>
    </row>
    <row r="7" spans="1:25" x14ac:dyDescent="0.25">
      <c r="A7" s="10">
        <v>1.1000000000000001</v>
      </c>
      <c r="B7" s="25" t="s">
        <v>48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16" t="s">
        <v>47</v>
      </c>
      <c r="V7" s="16"/>
      <c r="W7" s="17"/>
      <c r="Y7" s="1" t="str">
        <f>IF(U7="X","S",IF(V7="X","R","NA"))</f>
        <v>S</v>
      </c>
    </row>
    <row r="8" spans="1:25" ht="27.95" customHeight="1" x14ac:dyDescent="0.25">
      <c r="A8" s="10">
        <v>1.2</v>
      </c>
      <c r="B8" s="25" t="s">
        <v>49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16" t="s">
        <v>47</v>
      </c>
      <c r="V8" s="16"/>
      <c r="W8" s="17"/>
      <c r="Y8" s="1" t="str">
        <f t="shared" ref="Y8:Y41" si="0">IF(U8="X","S",IF(V8="X","R","NA"))</f>
        <v>S</v>
      </c>
    </row>
    <row r="9" spans="1:25" x14ac:dyDescent="0.25">
      <c r="A9" s="10">
        <v>1.3</v>
      </c>
      <c r="B9" s="25" t="s">
        <v>8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16" t="s">
        <v>47</v>
      </c>
      <c r="V9" s="16"/>
      <c r="W9" s="17"/>
      <c r="Y9" s="1" t="str">
        <f t="shared" si="0"/>
        <v>S</v>
      </c>
    </row>
    <row r="10" spans="1:25" x14ac:dyDescent="0.25">
      <c r="A10" s="10">
        <v>1.4</v>
      </c>
      <c r="B10" s="25" t="s">
        <v>50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16" t="s">
        <v>47</v>
      </c>
      <c r="V10" s="16"/>
      <c r="W10" s="17"/>
      <c r="Y10" s="1" t="str">
        <f t="shared" si="0"/>
        <v>S</v>
      </c>
    </row>
    <row r="11" spans="1:25" x14ac:dyDescent="0.25">
      <c r="A11" s="10">
        <v>1.5</v>
      </c>
      <c r="B11" s="25" t="s">
        <v>51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16"/>
      <c r="V11" s="16" t="s">
        <v>47</v>
      </c>
      <c r="W11" s="17"/>
      <c r="Y11" s="1" t="str">
        <f t="shared" si="0"/>
        <v>R</v>
      </c>
    </row>
    <row r="12" spans="1:25" ht="30.6" customHeight="1" x14ac:dyDescent="0.25">
      <c r="A12" s="10">
        <v>1.6</v>
      </c>
      <c r="B12" s="25" t="s">
        <v>52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16" t="s">
        <v>47</v>
      </c>
      <c r="V12" s="16"/>
      <c r="W12" s="17"/>
      <c r="Y12" s="1" t="str">
        <f t="shared" si="0"/>
        <v>S</v>
      </c>
    </row>
    <row r="13" spans="1:25" x14ac:dyDescent="0.25">
      <c r="A13" s="10">
        <v>1.7</v>
      </c>
      <c r="B13" s="25" t="s">
        <v>9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16" t="s">
        <v>47</v>
      </c>
      <c r="V13" s="16"/>
      <c r="W13" s="17"/>
      <c r="Y13" s="1" t="str">
        <f t="shared" si="0"/>
        <v>S</v>
      </c>
    </row>
    <row r="14" spans="1:25" x14ac:dyDescent="0.25">
      <c r="A14" s="10">
        <v>1.8</v>
      </c>
      <c r="B14" s="25" t="s">
        <v>10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16" t="s">
        <v>47</v>
      </c>
      <c r="V14" s="16"/>
      <c r="W14" s="17"/>
      <c r="Y14" s="1" t="str">
        <f t="shared" si="0"/>
        <v>S</v>
      </c>
    </row>
    <row r="15" spans="1:25" x14ac:dyDescent="0.25">
      <c r="A15" s="10">
        <v>1.9</v>
      </c>
      <c r="B15" s="25" t="s">
        <v>11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16" t="s">
        <v>47</v>
      </c>
      <c r="V15" s="16"/>
      <c r="W15" s="17"/>
      <c r="Y15" s="1" t="str">
        <f t="shared" si="0"/>
        <v>S</v>
      </c>
    </row>
    <row r="16" spans="1:25" x14ac:dyDescent="0.25">
      <c r="A16" s="10" t="s">
        <v>58</v>
      </c>
      <c r="B16" s="25" t="s">
        <v>12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16" t="s">
        <v>47</v>
      </c>
      <c r="V16" s="16"/>
      <c r="W16" s="17"/>
      <c r="Y16" s="1" t="str">
        <f t="shared" si="0"/>
        <v>S</v>
      </c>
    </row>
    <row r="17" spans="1:25" x14ac:dyDescent="0.25">
      <c r="A17" s="10">
        <v>1.1100000000000001</v>
      </c>
      <c r="B17" s="25" t="s">
        <v>13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16" t="s">
        <v>47</v>
      </c>
      <c r="V17" s="16"/>
      <c r="W17" s="17"/>
      <c r="Y17" s="1" t="str">
        <f t="shared" si="0"/>
        <v>S</v>
      </c>
    </row>
    <row r="18" spans="1:25" x14ac:dyDescent="0.25">
      <c r="A18" s="10">
        <v>1.1200000000000001</v>
      </c>
      <c r="B18" s="25" t="s">
        <v>14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16"/>
      <c r="V18" s="16" t="s">
        <v>47</v>
      </c>
      <c r="W18" s="17"/>
      <c r="Y18" s="1" t="str">
        <f t="shared" si="0"/>
        <v>R</v>
      </c>
    </row>
    <row r="19" spans="1:25" x14ac:dyDescent="0.25">
      <c r="A19" s="10">
        <v>1.1299999999999999</v>
      </c>
      <c r="B19" s="25" t="s">
        <v>15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16"/>
      <c r="V19" s="16"/>
      <c r="W19" s="17" t="s">
        <v>47</v>
      </c>
      <c r="Y19" s="1" t="str">
        <f t="shared" si="0"/>
        <v>NA</v>
      </c>
    </row>
    <row r="20" spans="1:25" x14ac:dyDescent="0.25">
      <c r="A20" s="10">
        <v>1.1399999999999999</v>
      </c>
      <c r="B20" s="25" t="s">
        <v>53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16" t="s">
        <v>47</v>
      </c>
      <c r="V20" s="16"/>
      <c r="W20" s="17"/>
      <c r="Y20" s="1" t="str">
        <f t="shared" si="0"/>
        <v>S</v>
      </c>
    </row>
    <row r="21" spans="1:25" x14ac:dyDescent="0.25">
      <c r="A21" s="10">
        <v>1.1499999999999999</v>
      </c>
      <c r="B21" s="25" t="s">
        <v>16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16" t="s">
        <v>47</v>
      </c>
      <c r="V21" s="16"/>
      <c r="W21" s="17"/>
      <c r="Y21" s="1" t="str">
        <f t="shared" si="0"/>
        <v>S</v>
      </c>
    </row>
    <row r="22" spans="1:25" x14ac:dyDescent="0.25">
      <c r="A22" s="39" t="s">
        <v>32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11" t="s">
        <v>6</v>
      </c>
      <c r="V22" s="12" t="s">
        <v>7</v>
      </c>
      <c r="W22" s="13" t="s">
        <v>17</v>
      </c>
    </row>
    <row r="23" spans="1:25" x14ac:dyDescent="0.25">
      <c r="A23" s="10">
        <v>2.1</v>
      </c>
      <c r="B23" s="25" t="s">
        <v>18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16" t="s">
        <v>47</v>
      </c>
      <c r="V23" s="16"/>
      <c r="W23" s="17"/>
      <c r="Y23" s="1" t="str">
        <f t="shared" si="0"/>
        <v>S</v>
      </c>
    </row>
    <row r="24" spans="1:25" x14ac:dyDescent="0.25">
      <c r="A24" s="10">
        <v>2.2000000000000002</v>
      </c>
      <c r="B24" s="25" t="s">
        <v>19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16"/>
      <c r="V24" s="16"/>
      <c r="W24" s="17" t="s">
        <v>47</v>
      </c>
      <c r="Y24" s="1" t="str">
        <f t="shared" si="0"/>
        <v>NA</v>
      </c>
    </row>
    <row r="25" spans="1:25" x14ac:dyDescent="0.25">
      <c r="A25" s="10">
        <v>2.2999999999999998</v>
      </c>
      <c r="B25" s="25" t="s">
        <v>20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16" t="s">
        <v>47</v>
      </c>
      <c r="V25" s="16"/>
      <c r="W25" s="17"/>
      <c r="Y25" s="1" t="str">
        <f t="shared" si="0"/>
        <v>S</v>
      </c>
    </row>
    <row r="26" spans="1:25" x14ac:dyDescent="0.25">
      <c r="A26" s="10">
        <v>2.4</v>
      </c>
      <c r="B26" s="25" t="s">
        <v>21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16" t="s">
        <v>47</v>
      </c>
      <c r="V26" s="16"/>
      <c r="W26" s="17"/>
      <c r="Y26" s="1" t="str">
        <f t="shared" si="0"/>
        <v>S</v>
      </c>
    </row>
    <row r="27" spans="1:25" x14ac:dyDescent="0.25">
      <c r="A27" s="10">
        <v>2.5</v>
      </c>
      <c r="B27" s="25" t="s">
        <v>22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16"/>
      <c r="V27" s="16" t="s">
        <v>47</v>
      </c>
      <c r="W27" s="17"/>
      <c r="Y27" s="1" t="str">
        <f t="shared" si="0"/>
        <v>R</v>
      </c>
    </row>
    <row r="28" spans="1:25" x14ac:dyDescent="0.25">
      <c r="A28" s="10">
        <v>2.6</v>
      </c>
      <c r="B28" s="25" t="s">
        <v>23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16"/>
      <c r="V28" s="16"/>
      <c r="W28" s="17" t="s">
        <v>47</v>
      </c>
      <c r="Y28" s="1" t="str">
        <f t="shared" si="0"/>
        <v>NA</v>
      </c>
    </row>
    <row r="29" spans="1:25" x14ac:dyDescent="0.25">
      <c r="A29" s="10">
        <v>2.7</v>
      </c>
      <c r="B29" s="25" t="s">
        <v>24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16" t="s">
        <v>47</v>
      </c>
      <c r="V29" s="16"/>
      <c r="W29" s="17"/>
      <c r="Y29" s="1" t="str">
        <f t="shared" si="0"/>
        <v>S</v>
      </c>
    </row>
    <row r="30" spans="1:25" x14ac:dyDescent="0.25">
      <c r="A30" s="10">
        <v>2.8</v>
      </c>
      <c r="B30" s="25" t="s">
        <v>25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16" t="s">
        <v>47</v>
      </c>
      <c r="V30" s="16"/>
      <c r="W30" s="17"/>
      <c r="Y30" s="1" t="str">
        <f t="shared" si="0"/>
        <v>S</v>
      </c>
    </row>
    <row r="31" spans="1:25" x14ac:dyDescent="0.25">
      <c r="A31" s="39" t="s">
        <v>33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11" t="s">
        <v>6</v>
      </c>
      <c r="V31" s="12" t="s">
        <v>7</v>
      </c>
      <c r="W31" s="13" t="s">
        <v>17</v>
      </c>
    </row>
    <row r="32" spans="1:25" x14ac:dyDescent="0.25">
      <c r="A32" s="10">
        <v>3.1</v>
      </c>
      <c r="B32" s="25" t="s">
        <v>26</v>
      </c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16" t="s">
        <v>47</v>
      </c>
      <c r="V32" s="16"/>
      <c r="W32" s="17"/>
      <c r="Y32" s="1" t="str">
        <f t="shared" si="0"/>
        <v>S</v>
      </c>
    </row>
    <row r="33" spans="1:25" ht="27.6" customHeight="1" x14ac:dyDescent="0.25">
      <c r="A33" s="10">
        <v>3.2</v>
      </c>
      <c r="B33" s="25" t="s">
        <v>27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16"/>
      <c r="V33" s="16"/>
      <c r="W33" s="17" t="s">
        <v>47</v>
      </c>
      <c r="Y33" s="1" t="str">
        <f t="shared" si="0"/>
        <v>NA</v>
      </c>
    </row>
    <row r="34" spans="1:25" x14ac:dyDescent="0.25">
      <c r="A34" s="10">
        <v>3.3</v>
      </c>
      <c r="B34" s="25" t="s">
        <v>54</v>
      </c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16"/>
      <c r="V34" s="16"/>
      <c r="W34" s="17" t="s">
        <v>47</v>
      </c>
      <c r="Y34" s="1" t="str">
        <f t="shared" si="0"/>
        <v>NA</v>
      </c>
    </row>
    <row r="35" spans="1:25" x14ac:dyDescent="0.25">
      <c r="A35" s="10">
        <v>3.4</v>
      </c>
      <c r="B35" s="25" t="s">
        <v>55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16" t="s">
        <v>47</v>
      </c>
      <c r="V35" s="16"/>
      <c r="W35" s="17"/>
      <c r="Y35" s="1" t="str">
        <f t="shared" si="0"/>
        <v>S</v>
      </c>
    </row>
    <row r="36" spans="1:25" x14ac:dyDescent="0.25">
      <c r="A36" s="10">
        <v>3.5</v>
      </c>
      <c r="B36" s="25" t="s">
        <v>28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16" t="s">
        <v>47</v>
      </c>
      <c r="V36" s="16"/>
      <c r="W36" s="17"/>
      <c r="Y36" s="1" t="str">
        <f t="shared" si="0"/>
        <v>S</v>
      </c>
    </row>
    <row r="37" spans="1:25" x14ac:dyDescent="0.25">
      <c r="A37" s="39" t="s">
        <v>34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11" t="s">
        <v>6</v>
      </c>
      <c r="V37" s="12" t="s">
        <v>7</v>
      </c>
      <c r="W37" s="13" t="s">
        <v>17</v>
      </c>
    </row>
    <row r="38" spans="1:25" ht="27" customHeight="1" x14ac:dyDescent="0.25">
      <c r="A38" s="10">
        <v>4.0999999999999996</v>
      </c>
      <c r="B38" s="25" t="s">
        <v>29</v>
      </c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16"/>
      <c r="V38" s="16"/>
      <c r="W38" s="17" t="s">
        <v>47</v>
      </c>
      <c r="Y38" s="1" t="str">
        <f t="shared" si="0"/>
        <v>NA</v>
      </c>
    </row>
    <row r="39" spans="1:25" x14ac:dyDescent="0.25">
      <c r="A39" s="10">
        <v>4.2</v>
      </c>
      <c r="B39" s="25" t="s">
        <v>56</v>
      </c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16"/>
      <c r="V39" s="16"/>
      <c r="W39" s="17" t="s">
        <v>47</v>
      </c>
      <c r="Y39" s="1" t="str">
        <f t="shared" si="0"/>
        <v>NA</v>
      </c>
    </row>
    <row r="40" spans="1:25" ht="27" customHeight="1" x14ac:dyDescent="0.25">
      <c r="A40" s="10">
        <v>4.3</v>
      </c>
      <c r="B40" s="25" t="s">
        <v>30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16"/>
      <c r="V40" s="16"/>
      <c r="W40" s="17" t="s">
        <v>47</v>
      </c>
      <c r="Y40" s="1" t="str">
        <f t="shared" si="0"/>
        <v>NA</v>
      </c>
    </row>
    <row r="41" spans="1:25" ht="15.75" thickBot="1" x14ac:dyDescent="0.3">
      <c r="A41" s="10">
        <v>4.4000000000000004</v>
      </c>
      <c r="B41" s="25" t="s">
        <v>57</v>
      </c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16"/>
      <c r="V41" s="16"/>
      <c r="W41" s="17" t="s">
        <v>47</v>
      </c>
      <c r="Y41" s="1" t="str">
        <f t="shared" si="0"/>
        <v>NA</v>
      </c>
    </row>
    <row r="42" spans="1:25" x14ac:dyDescent="0.25">
      <c r="A42" s="46" t="s">
        <v>35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</row>
    <row r="43" spans="1:25" x14ac:dyDescent="0.25">
      <c r="A43" s="48" t="s">
        <v>37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50"/>
      <c r="N43" s="51" t="s">
        <v>38</v>
      </c>
      <c r="O43" s="49"/>
      <c r="P43" s="49"/>
      <c r="Q43" s="49"/>
      <c r="R43" s="49"/>
      <c r="S43" s="50"/>
      <c r="T43" s="51" t="s">
        <v>36</v>
      </c>
      <c r="U43" s="49"/>
      <c r="V43" s="49"/>
      <c r="W43" s="50"/>
    </row>
    <row r="44" spans="1:25" ht="21.6" customHeight="1" x14ac:dyDescent="0.25">
      <c r="A44" s="52" t="s">
        <v>65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7"/>
      <c r="N44" s="35" t="s">
        <v>64</v>
      </c>
      <c r="O44" s="36"/>
      <c r="P44" s="36"/>
      <c r="Q44" s="36"/>
      <c r="R44" s="36"/>
      <c r="S44" s="37"/>
      <c r="T44" s="38">
        <v>43599</v>
      </c>
      <c r="U44" s="36"/>
      <c r="V44" s="36"/>
      <c r="W44" s="37"/>
    </row>
    <row r="45" spans="1:25" ht="21.6" customHeight="1" x14ac:dyDescent="0.25">
      <c r="A45" s="52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7"/>
      <c r="N45" s="35"/>
      <c r="O45" s="36"/>
      <c r="P45" s="36"/>
      <c r="Q45" s="36"/>
      <c r="R45" s="36"/>
      <c r="S45" s="37"/>
      <c r="T45" s="35"/>
      <c r="U45" s="36"/>
      <c r="V45" s="36"/>
      <c r="W45" s="37"/>
    </row>
    <row r="46" spans="1:25" ht="21.6" customHeight="1" x14ac:dyDescent="0.25">
      <c r="A46" s="41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3"/>
      <c r="N46" s="44"/>
      <c r="O46" s="42"/>
      <c r="P46" s="42"/>
      <c r="Q46" s="42"/>
      <c r="R46" s="42"/>
      <c r="S46" s="43"/>
      <c r="T46" s="45"/>
      <c r="U46" s="42"/>
      <c r="V46" s="42"/>
      <c r="W46" s="43"/>
    </row>
  </sheetData>
  <sheetProtection algorithmName="SHA-512" hashValue="LCLeuCFWK39ZfPuF65mmTW7oqeuZ48i+GbqrRcPCaMtkVOGipGMkXZ1gsFH6plTB03quSbSwr3v3fFvgPX/1nQ==" saltValue="WWPdDXN1PST7aX4EHfwI9Q==" spinCount="100000" sheet="1" objects="1" scenarios="1"/>
  <mergeCells count="67">
    <mergeCell ref="A4:E4"/>
    <mergeCell ref="F4:O4"/>
    <mergeCell ref="P4:Q4"/>
    <mergeCell ref="R4:W4"/>
    <mergeCell ref="A5:B5"/>
    <mergeCell ref="C5:K5"/>
    <mergeCell ref="L5:M5"/>
    <mergeCell ref="N5:W5"/>
    <mergeCell ref="A37:T37"/>
    <mergeCell ref="B38:T38"/>
    <mergeCell ref="B39:T39"/>
    <mergeCell ref="A46:M46"/>
    <mergeCell ref="N46:S46"/>
    <mergeCell ref="T46:W46"/>
    <mergeCell ref="A42:W42"/>
    <mergeCell ref="A43:M43"/>
    <mergeCell ref="N43:S43"/>
    <mergeCell ref="T43:W43"/>
    <mergeCell ref="A44:M44"/>
    <mergeCell ref="N44:S44"/>
    <mergeCell ref="T44:W44"/>
    <mergeCell ref="A45:M45"/>
    <mergeCell ref="N45:S45"/>
    <mergeCell ref="T45:W45"/>
    <mergeCell ref="B40:T40"/>
    <mergeCell ref="B41:T41"/>
    <mergeCell ref="B34:T34"/>
    <mergeCell ref="B23:T23"/>
    <mergeCell ref="B24:T24"/>
    <mergeCell ref="B25:T25"/>
    <mergeCell ref="B26:T26"/>
    <mergeCell ref="B27:T27"/>
    <mergeCell ref="B28:T28"/>
    <mergeCell ref="B29:T29"/>
    <mergeCell ref="B30:T30"/>
    <mergeCell ref="A31:T31"/>
    <mergeCell ref="B32:T32"/>
    <mergeCell ref="B33:T33"/>
    <mergeCell ref="B35:T35"/>
    <mergeCell ref="B36:T36"/>
    <mergeCell ref="A22:T22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E1:S1"/>
    <mergeCell ref="T1:W1"/>
    <mergeCell ref="A1:D1"/>
    <mergeCell ref="B11:T11"/>
    <mergeCell ref="A2:M2"/>
    <mergeCell ref="N2:R2"/>
    <mergeCell ref="S2:W2"/>
    <mergeCell ref="A6:T6"/>
    <mergeCell ref="B7:T7"/>
    <mergeCell ref="B8:T8"/>
    <mergeCell ref="B9:T9"/>
    <mergeCell ref="B10:T10"/>
    <mergeCell ref="A3:E3"/>
    <mergeCell ref="F3:O3"/>
    <mergeCell ref="P3:Q3"/>
    <mergeCell ref="R3:W3"/>
  </mergeCells>
  <dataValidations count="3">
    <dataValidation type="list" allowBlank="1" showDropDown="1" showInputMessage="1" showErrorMessage="1" error="Marca solo con una X" sqref="U7:W21 U23:W30 U32:W36 U38:W41" xr:uid="{00000000-0002-0000-0000-000000000000}">
      <formula1>$Y$1</formula1>
    </dataValidation>
    <dataValidation type="date" allowBlank="1" showInputMessage="1" showErrorMessage="1" errorTitle="Fecha" error="Colocar la fecha de implementación acordada para las medidas correctivas_x000a_" sqref="T44:W46" xr:uid="{00000000-0002-0000-0000-000001000000}">
      <formula1>43466</formula1>
      <formula2>44196</formula2>
    </dataValidation>
    <dataValidation type="date" allowBlank="1" showInputMessage="1" showErrorMessage="1" errorTitle="Fecha" error="Colocar la fecha de realización de la OPC" sqref="R3:W3" xr:uid="{00000000-0002-0000-0000-000002000000}">
      <formula1>43466</formula1>
      <formula2>44196</formula2>
    </dataValidation>
  </dataValidations>
  <pageMargins left="0.7" right="0.7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"/>
  <sheetViews>
    <sheetView workbookViewId="0">
      <selection sqref="A1:XFD1048576"/>
    </sheetView>
  </sheetViews>
  <sheetFormatPr baseColWidth="10" defaultColWidth="0" defaultRowHeight="15" zeroHeight="1" x14ac:dyDescent="0.25"/>
  <cols>
    <col min="1" max="1" width="20.5703125" style="1" bestFit="1" customWidth="1"/>
    <col min="2" max="2" width="10.85546875" style="1" customWidth="1"/>
    <col min="3" max="3" width="23.42578125" style="1" bestFit="1" customWidth="1"/>
    <col min="4" max="38" width="10.85546875" style="1" customWidth="1"/>
    <col min="39" max="39" width="19" style="1" bestFit="1" customWidth="1"/>
    <col min="40" max="40" width="12.5703125" style="1" bestFit="1" customWidth="1"/>
    <col min="41" max="41" width="10.85546875" style="1" customWidth="1"/>
    <col min="42" max="42" width="0" style="1" hidden="1" customWidth="1"/>
    <col min="43" max="16384" width="10.85546875" style="1" hidden="1"/>
  </cols>
  <sheetData>
    <row r="1" spans="1:41" x14ac:dyDescent="0.25">
      <c r="A1" s="60" t="s">
        <v>41</v>
      </c>
      <c r="B1" s="60" t="s">
        <v>42</v>
      </c>
      <c r="C1" s="61" t="s">
        <v>43</v>
      </c>
      <c r="D1" s="61" t="s">
        <v>44</v>
      </c>
      <c r="E1" s="61" t="s">
        <v>45</v>
      </c>
      <c r="F1" s="61" t="s">
        <v>46</v>
      </c>
      <c r="G1" s="62" t="s">
        <v>31</v>
      </c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 t="s">
        <v>32</v>
      </c>
      <c r="W1" s="62"/>
      <c r="X1" s="62"/>
      <c r="Y1" s="62"/>
      <c r="Z1" s="62"/>
      <c r="AA1" s="62"/>
      <c r="AB1" s="62"/>
      <c r="AC1" s="62"/>
      <c r="AD1" s="62" t="s">
        <v>33</v>
      </c>
      <c r="AE1" s="62"/>
      <c r="AF1" s="62"/>
      <c r="AG1" s="62"/>
      <c r="AH1" s="62"/>
      <c r="AI1" s="62" t="s">
        <v>34</v>
      </c>
      <c r="AJ1" s="62"/>
      <c r="AK1" s="62"/>
      <c r="AL1" s="62"/>
      <c r="AM1" s="58" t="s">
        <v>35</v>
      </c>
      <c r="AN1" s="59"/>
      <c r="AO1" s="59"/>
    </row>
    <row r="2" spans="1:41" x14ac:dyDescent="0.25">
      <c r="A2" s="60"/>
      <c r="B2" s="60"/>
      <c r="C2" s="61"/>
      <c r="D2" s="61"/>
      <c r="E2" s="61"/>
      <c r="F2" s="61"/>
      <c r="G2" s="2">
        <v>1.1000000000000001</v>
      </c>
      <c r="H2" s="2">
        <v>1.2</v>
      </c>
      <c r="I2" s="2">
        <v>1.3</v>
      </c>
      <c r="J2" s="2">
        <v>1.4</v>
      </c>
      <c r="K2" s="2">
        <v>1.5</v>
      </c>
      <c r="L2" s="2">
        <v>1.6</v>
      </c>
      <c r="M2" s="2">
        <v>1.7</v>
      </c>
      <c r="N2" s="2">
        <v>1.8</v>
      </c>
      <c r="O2" s="2">
        <v>1.9</v>
      </c>
      <c r="P2" s="3">
        <v>1.1000000000000001</v>
      </c>
      <c r="Q2" s="2">
        <v>1.1100000000000001</v>
      </c>
      <c r="R2" s="2">
        <v>1.1200000000000001</v>
      </c>
      <c r="S2" s="2">
        <v>1.1299999999999999</v>
      </c>
      <c r="T2" s="2">
        <v>1.1399999999999999</v>
      </c>
      <c r="U2" s="2">
        <v>1.1499999999999999</v>
      </c>
      <c r="V2" s="2">
        <v>2.1</v>
      </c>
      <c r="W2" s="2">
        <v>2.2000000000000002</v>
      </c>
      <c r="X2" s="2">
        <v>2.2999999999999998</v>
      </c>
      <c r="Y2" s="2">
        <v>2.4</v>
      </c>
      <c r="Z2" s="2">
        <v>2.5</v>
      </c>
      <c r="AA2" s="2">
        <v>2.6</v>
      </c>
      <c r="AB2" s="2">
        <v>2.7</v>
      </c>
      <c r="AC2" s="2">
        <v>2.8</v>
      </c>
      <c r="AD2" s="2">
        <v>3.1</v>
      </c>
      <c r="AE2" s="2">
        <v>3.2</v>
      </c>
      <c r="AF2" s="2">
        <v>3.3</v>
      </c>
      <c r="AG2" s="2">
        <v>3.4</v>
      </c>
      <c r="AH2" s="2">
        <v>3.5</v>
      </c>
      <c r="AI2" s="2">
        <v>4.0999999999999996</v>
      </c>
      <c r="AJ2" s="2">
        <v>4.2</v>
      </c>
      <c r="AK2" s="2">
        <v>4.3</v>
      </c>
      <c r="AL2" s="2">
        <v>4.4000000000000004</v>
      </c>
      <c r="AM2" s="4" t="s">
        <v>37</v>
      </c>
      <c r="AN2" s="5" t="s">
        <v>38</v>
      </c>
      <c r="AO2" s="5" t="s">
        <v>36</v>
      </c>
    </row>
    <row r="3" spans="1:41" x14ac:dyDescent="0.25">
      <c r="A3" s="1" t="str">
        <f>OPC!F3</f>
        <v>Edy Villasante</v>
      </c>
      <c r="B3" s="6" t="str">
        <f>IF(OPC!R3="","",TEXT(OPC!R3,"mmmm"))</f>
        <v>Mayo</v>
      </c>
      <c r="C3" s="1" t="str">
        <f>OPC!F4</f>
        <v>Instalacion de Malla a tierra</v>
      </c>
      <c r="D3" s="1" t="str">
        <f>OPC!C5</f>
        <v>Chancadora primaria de sulfuros</v>
      </c>
      <c r="E3" s="1" t="str">
        <f>OPC!N5</f>
        <v>Electricidad</v>
      </c>
      <c r="F3" s="1" t="str">
        <f>OPC!R4</f>
        <v>CCICSK</v>
      </c>
      <c r="G3" s="1" t="str">
        <f>OPC!Y7</f>
        <v>S</v>
      </c>
      <c r="H3" s="1" t="str">
        <f>OPC!Y8</f>
        <v>S</v>
      </c>
      <c r="I3" s="1" t="str">
        <f>OPC!Y9</f>
        <v>S</v>
      </c>
      <c r="J3" s="1" t="str">
        <f>OPC!Y10</f>
        <v>S</v>
      </c>
      <c r="K3" s="1" t="str">
        <f>OPC!Y11</f>
        <v>R</v>
      </c>
      <c r="L3" s="1" t="str">
        <f>OPC!Y12</f>
        <v>S</v>
      </c>
      <c r="M3" s="1" t="str">
        <f>OPC!Y13</f>
        <v>S</v>
      </c>
      <c r="N3" s="1" t="str">
        <f>OPC!Y14</f>
        <v>S</v>
      </c>
      <c r="O3" s="1" t="str">
        <f>OPC!Y15</f>
        <v>S</v>
      </c>
      <c r="P3" s="1" t="str">
        <f>OPC!Y16</f>
        <v>S</v>
      </c>
      <c r="Q3" s="1" t="str">
        <f>OPC!Y17</f>
        <v>S</v>
      </c>
      <c r="R3" s="1" t="str">
        <f>OPC!Y18</f>
        <v>R</v>
      </c>
      <c r="S3" s="1" t="str">
        <f>OPC!Y19</f>
        <v>NA</v>
      </c>
      <c r="T3" s="1" t="str">
        <f>OPC!Y20</f>
        <v>S</v>
      </c>
      <c r="U3" s="1" t="str">
        <f>OPC!Y21</f>
        <v>S</v>
      </c>
      <c r="V3" s="1" t="str">
        <f>OPC!Y23</f>
        <v>S</v>
      </c>
      <c r="W3" s="1" t="str">
        <f>OPC!Y24</f>
        <v>NA</v>
      </c>
      <c r="X3" s="1" t="str">
        <f>OPC!Y25</f>
        <v>S</v>
      </c>
      <c r="Y3" s="1" t="str">
        <f>OPC!Y26</f>
        <v>S</v>
      </c>
      <c r="Z3" s="1" t="str">
        <f>OPC!Y27</f>
        <v>R</v>
      </c>
      <c r="AA3" s="1" t="str">
        <f>OPC!Y28</f>
        <v>NA</v>
      </c>
      <c r="AB3" s="1" t="str">
        <f>OPC!Y29</f>
        <v>S</v>
      </c>
      <c r="AC3" s="1" t="str">
        <f>OPC!Y30</f>
        <v>S</v>
      </c>
      <c r="AD3" s="1" t="str">
        <f>OPC!Y32</f>
        <v>S</v>
      </c>
      <c r="AE3" s="1" t="str">
        <f>OPC!Y33</f>
        <v>NA</v>
      </c>
      <c r="AF3" s="1" t="str">
        <f>OPC!Y34</f>
        <v>NA</v>
      </c>
      <c r="AG3" s="1" t="str">
        <f>OPC!Y35</f>
        <v>S</v>
      </c>
      <c r="AH3" s="1" t="str">
        <f>OPC!Y36</f>
        <v>S</v>
      </c>
      <c r="AI3" s="1" t="str">
        <f>OPC!Y38</f>
        <v>NA</v>
      </c>
      <c r="AJ3" s="1" t="str">
        <f>OPC!Y39</f>
        <v>NA</v>
      </c>
      <c r="AK3" s="1" t="str">
        <f>OPC!Y40</f>
        <v>NA</v>
      </c>
      <c r="AL3" s="1" t="str">
        <f>OPC!Y41</f>
        <v>NA</v>
      </c>
      <c r="AM3" s="1" t="str">
        <f>OPC!A44</f>
        <v>Se informo al responsable y se tomo la media correctivas</v>
      </c>
      <c r="AN3" s="1" t="str">
        <f>OPC!N44</f>
        <v>Agustin Matilla</v>
      </c>
      <c r="AO3" s="1" t="str">
        <f>IF(OPC!T44="","",TEXT(OPC!T44,"mmmm"))</f>
        <v>Mayo</v>
      </c>
    </row>
    <row r="4" spans="1:41" x14ac:dyDescent="0.25">
      <c r="AM4" s="1">
        <f>OPC!A45</f>
        <v>0</v>
      </c>
      <c r="AN4" s="1">
        <f>OPC!N45</f>
        <v>0</v>
      </c>
      <c r="AO4" s="1" t="str">
        <f>IF(OPC!T45="","",TEXT(OPC!T45,"mmmm"))</f>
        <v/>
      </c>
    </row>
    <row r="5" spans="1:41" x14ac:dyDescent="0.25">
      <c r="AM5" s="1">
        <f>OPC!A46</f>
        <v>0</v>
      </c>
      <c r="AN5" s="1">
        <f>OPC!N46</f>
        <v>0</v>
      </c>
      <c r="AO5" s="1" t="str">
        <f>IF(OPC!T46="","",TEXT(OPC!T46,"mmmm"))</f>
        <v/>
      </c>
    </row>
  </sheetData>
  <sheetProtection algorithmName="SHA-512" hashValue="uRJRQablFiSjmN5y959A9hGN+9ErXKZtiJQ0mH0KRcgpBG42IZ6H4zwyhdNySxByx/UZbqwPDQWS4QER6f8yLg==" saltValue="BDyUzKTtoDfkCKeKSJwzcA==" spinCount="100000" sheet="1" objects="1" scenarios="1"/>
  <mergeCells count="11">
    <mergeCell ref="AM1:AO1"/>
    <mergeCell ref="A1:A2"/>
    <mergeCell ref="B1:B2"/>
    <mergeCell ref="C1:C2"/>
    <mergeCell ref="D1:D2"/>
    <mergeCell ref="E1:E2"/>
    <mergeCell ref="F1:F2"/>
    <mergeCell ref="G1:U1"/>
    <mergeCell ref="V1:AC1"/>
    <mergeCell ref="AD1:AH1"/>
    <mergeCell ref="AI1:AL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OPC</vt:lpstr>
      <vt:lpstr>BD</vt:lpstr>
      <vt:lpstr>OPC!Área_de_impresión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Rivero Gomez</dc:creator>
  <cp:lastModifiedBy>Edy Villasante Huanacune</cp:lastModifiedBy>
  <cp:lastPrinted>2018-12-27T22:53:45Z</cp:lastPrinted>
  <dcterms:created xsi:type="dcterms:W3CDTF">2018-12-27T03:47:19Z</dcterms:created>
  <dcterms:modified xsi:type="dcterms:W3CDTF">2019-05-22T16:22:43Z</dcterms:modified>
</cp:coreProperties>
</file>